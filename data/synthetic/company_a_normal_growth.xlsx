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A (SYNTHETIC)</t>
        </is>
      </c>
    </row>
    <row r="3">
      <c r="A3" t="inlineStr">
        <is>
          <t>Scenario: steady revenue growth, stable costs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Subscription Revenue</t>
        </is>
      </c>
      <c r="C7" t="n">
        <v>162500</v>
      </c>
      <c r="D7" t="n">
        <v>160000</v>
      </c>
      <c r="E7" t="n">
        <v>157500</v>
      </c>
      <c r="F7" t="n">
        <v>155000</v>
      </c>
      <c r="G7" t="n">
        <v>152500</v>
      </c>
      <c r="H7" t="n">
        <v>150000</v>
      </c>
      <c r="I7" t="n">
        <v>147500</v>
      </c>
      <c r="J7" t="n">
        <v>145000</v>
      </c>
      <c r="K7" t="n">
        <v>142500</v>
      </c>
      <c r="L7" t="n">
        <v>140000</v>
      </c>
      <c r="M7" t="n">
        <v>137500</v>
      </c>
      <c r="N7" t="n">
        <v>135000</v>
      </c>
      <c r="O7" t="n">
        <v>132500</v>
      </c>
      <c r="P7" t="n">
        <v>130000</v>
      </c>
      <c r="Q7" t="n">
        <v>127500</v>
      </c>
      <c r="R7" t="n">
        <v>125000</v>
      </c>
      <c r="S7" t="n">
        <v>122500</v>
      </c>
      <c r="T7" t="n">
        <v>120000</v>
      </c>
    </row>
    <row r="8">
      <c r="B8" t="inlineStr">
        <is>
          <t>Services Revenue</t>
        </is>
      </c>
      <c r="C8" t="n">
        <v>23100</v>
      </c>
      <c r="D8" t="n">
        <v>22800</v>
      </c>
      <c r="E8" t="n">
        <v>22500</v>
      </c>
      <c r="F8" t="n">
        <v>22200</v>
      </c>
      <c r="G8" t="n">
        <v>21900</v>
      </c>
      <c r="H8" t="n">
        <v>21600</v>
      </c>
      <c r="I8" t="n">
        <v>21300</v>
      </c>
      <c r="J8" t="n">
        <v>21000</v>
      </c>
      <c r="K8" t="n">
        <v>20700</v>
      </c>
      <c r="L8" t="n">
        <v>20400</v>
      </c>
      <c r="M8" t="n">
        <v>20100</v>
      </c>
      <c r="N8" t="n">
        <v>19800</v>
      </c>
      <c r="O8" t="n">
        <v>19500</v>
      </c>
      <c r="P8" t="n">
        <v>19200</v>
      </c>
      <c r="Q8" t="n">
        <v>18900</v>
      </c>
      <c r="R8" t="n">
        <v>18600</v>
      </c>
      <c r="S8" t="n">
        <v>18300</v>
      </c>
      <c r="T8" t="n">
        <v>18000</v>
      </c>
    </row>
    <row r="9">
      <c r="A9" t="inlineStr">
        <is>
          <t>Total Income</t>
        </is>
      </c>
      <c r="C9">
        <f>SUM(C7:C8)</f>
        <v>185600</v>
      </c>
      <c r="D9">
        <f>SUM(D7:D8)</f>
        <v>182800</v>
      </c>
      <c r="E9">
        <f>SUM(E7:E8)</f>
        <v>180000</v>
      </c>
      <c r="F9">
        <f>SUM(F7:F8)</f>
        <v>177200</v>
      </c>
      <c r="G9">
        <f>SUM(G7:G8)</f>
        <v>174400</v>
      </c>
      <c r="H9">
        <f>SUM(H7:H8)</f>
        <v>171600</v>
      </c>
      <c r="I9">
        <f>SUM(I7:I8)</f>
        <v>168800</v>
      </c>
      <c r="J9">
        <f>SUM(J7:J8)</f>
        <v>166000</v>
      </c>
      <c r="K9">
        <f>SUM(K7:K8)</f>
        <v>163200</v>
      </c>
      <c r="L9">
        <f>SUM(L7:L8)</f>
        <v>160400</v>
      </c>
      <c r="M9">
        <f>SUM(M7:M8)</f>
        <v>157600</v>
      </c>
      <c r="N9">
        <f>SUM(N7:N8)</f>
        <v>154800</v>
      </c>
      <c r="O9">
        <f>SUM(O7:O8)</f>
        <v>152000</v>
      </c>
      <c r="P9">
        <f>SUM(P7:P8)</f>
        <v>149200</v>
      </c>
      <c r="Q9">
        <f>SUM(Q7:Q8)</f>
        <v>146400</v>
      </c>
      <c r="R9">
        <f>SUM(R7:R8)</f>
        <v>143600</v>
      </c>
      <c r="S9">
        <f>SUM(S7:S8)</f>
        <v>140800</v>
      </c>
      <c r="T9">
        <f>SUM(T7:T8)</f>
        <v>138000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11040</v>
      </c>
      <c r="D12" t="n">
        <v>10920</v>
      </c>
      <c r="E12" t="n">
        <v>10800</v>
      </c>
      <c r="F12" t="n">
        <v>10680</v>
      </c>
      <c r="G12" t="n">
        <v>10560</v>
      </c>
      <c r="H12" t="n">
        <v>10440</v>
      </c>
      <c r="I12" t="n">
        <v>10320</v>
      </c>
      <c r="J12" t="n">
        <v>10200</v>
      </c>
      <c r="K12" t="n">
        <v>10080</v>
      </c>
      <c r="L12" t="n">
        <v>9960</v>
      </c>
      <c r="M12" t="n">
        <v>9840</v>
      </c>
      <c r="N12" t="n">
        <v>9720</v>
      </c>
      <c r="O12" t="n">
        <v>9600</v>
      </c>
      <c r="P12" t="n">
        <v>9480</v>
      </c>
      <c r="Q12" t="n">
        <v>9360</v>
      </c>
      <c r="R12" t="n">
        <v>9240</v>
      </c>
      <c r="S12" t="n">
        <v>9120</v>
      </c>
      <c r="T12" t="n">
        <v>9000</v>
      </c>
    </row>
    <row r="13">
      <c r="B13" t="inlineStr">
        <is>
          <t>Support Payroll</t>
        </is>
      </c>
      <c r="C13" t="n">
        <v>22000</v>
      </c>
      <c r="D13" t="n">
        <v>22000</v>
      </c>
      <c r="E13" t="n">
        <v>22000</v>
      </c>
      <c r="F13" t="n">
        <v>22000</v>
      </c>
      <c r="G13" t="n">
        <v>22000</v>
      </c>
      <c r="H13" t="n">
        <v>22000</v>
      </c>
      <c r="I13" t="n">
        <v>22000</v>
      </c>
      <c r="J13" t="n">
        <v>22000</v>
      </c>
      <c r="K13" t="n">
        <v>22000</v>
      </c>
      <c r="L13" t="n">
        <v>22000</v>
      </c>
      <c r="M13" t="n">
        <v>22000</v>
      </c>
      <c r="N13" t="n">
        <v>22000</v>
      </c>
      <c r="O13" t="n">
        <v>22000</v>
      </c>
      <c r="P13" t="n">
        <v>22000</v>
      </c>
      <c r="Q13" t="n">
        <v>22000</v>
      </c>
      <c r="R13" t="n">
        <v>22000</v>
      </c>
      <c r="S13" t="n">
        <v>22000</v>
      </c>
      <c r="T13" t="n">
        <v>22000</v>
      </c>
    </row>
    <row r="14">
      <c r="A14" t="inlineStr">
        <is>
          <t>Total Cost of Goods Sold</t>
        </is>
      </c>
      <c r="C14">
        <f>SUM(C12:C13)</f>
        <v>33040.0</v>
      </c>
      <c r="D14">
        <f>SUM(D12:D13)</f>
        <v>32920.0</v>
      </c>
      <c r="E14">
        <f>SUM(E12:E13)</f>
        <v>32800.0</v>
      </c>
      <c r="F14">
        <f>SUM(F12:F13)</f>
        <v>32680.0</v>
      </c>
      <c r="G14">
        <f>SUM(G12:G13)</f>
        <v>32560.0</v>
      </c>
      <c r="H14">
        <f>SUM(H12:H13)</f>
        <v>32440.0</v>
      </c>
      <c r="I14">
        <f>SUM(I12:I13)</f>
        <v>32320.0</v>
      </c>
      <c r="J14">
        <f>SUM(J12:J13)</f>
        <v>32200.0</v>
      </c>
      <c r="K14">
        <f>SUM(K12:K13)</f>
        <v>32080.0</v>
      </c>
      <c r="L14">
        <f>SUM(L12:L13)</f>
        <v>31960.0</v>
      </c>
      <c r="M14">
        <f>SUM(M12:M13)</f>
        <v>31840.0</v>
      </c>
      <c r="N14">
        <f>SUM(N12:N13)</f>
        <v>31720.0</v>
      </c>
      <c r="O14">
        <f>SUM(O12:O13)</f>
        <v>31600.0</v>
      </c>
      <c r="P14">
        <f>SUM(P12:P13)</f>
        <v>31480.0</v>
      </c>
      <c r="Q14">
        <f>SUM(Q12:Q13)</f>
        <v>31360.0</v>
      </c>
      <c r="R14">
        <f>SUM(R12:R13)</f>
        <v>31240.0</v>
      </c>
      <c r="S14">
        <f>SUM(S12:S13)</f>
        <v>31120.0</v>
      </c>
      <c r="T14">
        <f>SUM(T12:T13)</f>
        <v>31000.0</v>
      </c>
    </row>
    <row r="16">
      <c r="B16" t="inlineStr">
        <is>
          <t>Gross Profit</t>
        </is>
      </c>
      <c r="C16">
        <f>(C9 - C14)</f>
        <v>152560.0</v>
      </c>
      <c r="D16">
        <f>(D9 - D14)</f>
        <v>149880.0</v>
      </c>
      <c r="E16">
        <f>(E9 - E14)</f>
        <v>147200.0</v>
      </c>
      <c r="F16">
        <f>(F9 - F14)</f>
        <v>144520.0</v>
      </c>
      <c r="G16">
        <f>(G9 - G14)</f>
        <v>141840.0</v>
      </c>
      <c r="H16">
        <f>(H9 - H14)</f>
        <v>139160.0</v>
      </c>
      <c r="I16">
        <f>(I9 - I14)</f>
        <v>136480.0</v>
      </c>
      <c r="J16">
        <f>(J9 - J14)</f>
        <v>133800.0</v>
      </c>
      <c r="K16">
        <f>(K9 - K14)</f>
        <v>131120.0</v>
      </c>
      <c r="L16">
        <f>(L9 - L14)</f>
        <v>128440.0</v>
      </c>
      <c r="M16">
        <f>(M9 - M14)</f>
        <v>125760.0</v>
      </c>
      <c r="N16">
        <f>(N9 - N14)</f>
        <v>123080.0</v>
      </c>
      <c r="O16">
        <f>(O9 - O14)</f>
        <v>120400.0</v>
      </c>
      <c r="P16">
        <f>(P9 - P14)</f>
        <v>117720.0</v>
      </c>
      <c r="Q16">
        <f>(Q9 - Q14)</f>
        <v>115040.0</v>
      </c>
      <c r="R16">
        <f>(R9 - R14)</f>
        <v>112360.0</v>
      </c>
      <c r="S16">
        <f>(S9 - S14)</f>
        <v>109680.0</v>
      </c>
      <c r="T16">
        <f>(T9 - T14)</f>
        <v>107000.0</v>
      </c>
    </row>
    <row r="18">
      <c r="A18" t="inlineStr">
        <is>
          <t>Operating Expenses</t>
        </is>
      </c>
    </row>
    <row r="19">
      <c r="B19" t="inlineStr">
        <is>
          <t>Rent</t>
        </is>
      </c>
      <c r="C19" t="n">
        <v>7500</v>
      </c>
      <c r="D19" t="n">
        <v>7500</v>
      </c>
      <c r="E19" t="n">
        <v>7500</v>
      </c>
      <c r="F19" t="n">
        <v>7500</v>
      </c>
      <c r="G19" t="n">
        <v>7500</v>
      </c>
      <c r="H19" t="n">
        <v>7500</v>
      </c>
      <c r="I19" t="n">
        <v>7500</v>
      </c>
      <c r="J19" t="n">
        <v>7500</v>
      </c>
      <c r="K19" t="n">
        <v>7500</v>
      </c>
      <c r="L19" t="n">
        <v>7500</v>
      </c>
      <c r="M19" t="n">
        <v>7500</v>
      </c>
      <c r="N19" t="n">
        <v>7500</v>
      </c>
      <c r="O19" t="n">
        <v>7500</v>
      </c>
      <c r="P19" t="n">
        <v>7500</v>
      </c>
      <c r="Q19" t="n">
        <v>7500</v>
      </c>
      <c r="R19" t="n">
        <v>7500</v>
      </c>
      <c r="S19" t="n">
        <v>7500</v>
      </c>
      <c r="T19" t="n">
        <v>7500</v>
      </c>
    </row>
    <row r="20">
      <c r="B20" t="inlineStr">
        <is>
          <t>Software &amp; SaaS</t>
        </is>
      </c>
      <c r="C20" t="n">
        <v>7360</v>
      </c>
      <c r="D20" t="n">
        <v>7280</v>
      </c>
      <c r="E20" t="n">
        <v>7200</v>
      </c>
      <c r="F20" t="n">
        <v>7120</v>
      </c>
      <c r="G20" t="n">
        <v>7040</v>
      </c>
      <c r="H20" t="n">
        <v>6960</v>
      </c>
      <c r="I20" t="n">
        <v>6880</v>
      </c>
      <c r="J20" t="n">
        <v>6800</v>
      </c>
      <c r="K20" t="n">
        <v>6720</v>
      </c>
      <c r="L20" t="n">
        <v>6640</v>
      </c>
      <c r="M20" t="n">
        <v>6560</v>
      </c>
      <c r="N20" t="n">
        <v>6480</v>
      </c>
      <c r="O20" t="n">
        <v>6400</v>
      </c>
      <c r="P20" t="n">
        <v>6320</v>
      </c>
      <c r="Q20" t="n">
        <v>6240</v>
      </c>
      <c r="R20" t="n">
        <v>6160</v>
      </c>
      <c r="S20" t="n">
        <v>6080</v>
      </c>
      <c r="T20" t="n">
        <v>6000</v>
      </c>
    </row>
    <row r="21">
      <c r="B21" t="inlineStr">
        <is>
          <t>Accounting &amp; Tax</t>
        </is>
      </c>
      <c r="C21" t="n">
        <v>3200</v>
      </c>
      <c r="D21" t="n">
        <v>3200</v>
      </c>
      <c r="E21" t="n">
        <v>3200</v>
      </c>
      <c r="F21" t="n">
        <v>3200</v>
      </c>
      <c r="G21" t="n">
        <v>3200</v>
      </c>
      <c r="H21" t="n">
        <v>3200</v>
      </c>
      <c r="I21" t="n">
        <v>3200</v>
      </c>
      <c r="J21" t="n">
        <v>3200</v>
      </c>
      <c r="K21" t="n">
        <v>3200</v>
      </c>
      <c r="L21" t="n">
        <v>3200</v>
      </c>
      <c r="M21" t="n">
        <v>3200</v>
      </c>
      <c r="N21" t="n">
        <v>3200</v>
      </c>
      <c r="O21" t="n">
        <v>3200</v>
      </c>
      <c r="P21" t="n">
        <v>3200</v>
      </c>
      <c r="Q21" t="n">
        <v>3200</v>
      </c>
      <c r="R21" t="n">
        <v>3200</v>
      </c>
      <c r="S21" t="n">
        <v>3200</v>
      </c>
      <c r="T21" t="n">
        <v>3200</v>
      </c>
    </row>
    <row r="22">
      <c r="B22" t="inlineStr">
        <is>
          <t>Travel</t>
        </is>
      </c>
      <c r="C22" t="n">
        <v>1800</v>
      </c>
      <c r="D22" t="n">
        <v>1800</v>
      </c>
      <c r="E22" t="n">
        <v>1800</v>
      </c>
      <c r="F22" t="n">
        <v>1800</v>
      </c>
      <c r="G22" t="n">
        <v>1800</v>
      </c>
      <c r="H22" t="n">
        <v>1800</v>
      </c>
      <c r="I22" t="n">
        <v>1800</v>
      </c>
      <c r="J22" t="n">
        <v>1800</v>
      </c>
      <c r="K22" t="n">
        <v>1800</v>
      </c>
      <c r="L22" t="n">
        <v>1800</v>
      </c>
      <c r="M22" t="n">
        <v>1800</v>
      </c>
      <c r="N22" t="n">
        <v>1800</v>
      </c>
      <c r="O22" t="n">
        <v>1800</v>
      </c>
      <c r="P22" t="n">
        <v>1800</v>
      </c>
      <c r="Q22" t="n">
        <v>1800</v>
      </c>
      <c r="R22" t="n">
        <v>1800</v>
      </c>
      <c r="S22" t="n">
        <v>1800</v>
      </c>
      <c r="T22" t="n">
        <v>1800</v>
      </c>
    </row>
    <row r="23">
      <c r="B23" t="inlineStr">
        <is>
          <t>Sales Payroll</t>
        </is>
      </c>
    </row>
    <row r="24">
      <c r="B24" t="inlineStr">
        <is>
          <t>Sales - Payroll</t>
        </is>
      </c>
      <c r="C24" t="n">
        <v>54800</v>
      </c>
      <c r="D24" t="n">
        <v>54400</v>
      </c>
      <c r="E24" t="n">
        <v>54000</v>
      </c>
      <c r="F24" t="n">
        <v>53600</v>
      </c>
      <c r="G24" t="n">
        <v>53200</v>
      </c>
      <c r="H24" t="n">
        <v>52800</v>
      </c>
      <c r="I24" t="n">
        <v>52400</v>
      </c>
      <c r="J24" t="n">
        <v>52000</v>
      </c>
      <c r="K24" t="n">
        <v>51600</v>
      </c>
      <c r="L24" t="n">
        <v>51200</v>
      </c>
      <c r="M24" t="n">
        <v>50800</v>
      </c>
      <c r="N24" t="n">
        <v>50400</v>
      </c>
      <c r="O24" t="n">
        <v>50000</v>
      </c>
      <c r="P24" t="n">
        <v>49600</v>
      </c>
      <c r="Q24" t="n">
        <v>49200</v>
      </c>
      <c r="R24" t="n">
        <v>48800</v>
      </c>
      <c r="S24" t="n">
        <v>48400</v>
      </c>
      <c r="T24" t="n">
        <v>48000</v>
      </c>
    </row>
    <row r="25">
      <c r="B25" t="inlineStr">
        <is>
          <t>Sales - Payroll Taxes</t>
        </is>
      </c>
      <c r="C25" t="n">
        <v>4344</v>
      </c>
      <c r="D25" t="n">
        <v>4312</v>
      </c>
      <c r="E25" t="n">
        <v>4280</v>
      </c>
      <c r="F25" t="n">
        <v>4248</v>
      </c>
      <c r="G25" t="n">
        <v>4216</v>
      </c>
      <c r="H25" t="n">
        <v>4184</v>
      </c>
      <c r="I25" t="n">
        <v>4152</v>
      </c>
      <c r="J25" t="n">
        <v>4120</v>
      </c>
      <c r="K25" t="n">
        <v>4088</v>
      </c>
      <c r="L25" t="n">
        <v>4056</v>
      </c>
      <c r="M25" t="n">
        <v>4024</v>
      </c>
      <c r="N25" t="n">
        <v>3992</v>
      </c>
      <c r="O25" t="n">
        <v>3960</v>
      </c>
      <c r="P25" t="n">
        <v>3928</v>
      </c>
      <c r="Q25" t="n">
        <v>3896</v>
      </c>
      <c r="R25" t="n">
        <v>3864</v>
      </c>
      <c r="S25" t="n">
        <v>3832</v>
      </c>
      <c r="T25" t="n">
        <v>3800</v>
      </c>
    </row>
    <row r="26">
      <c r="B26" t="inlineStr">
        <is>
          <t>Total Sales Payroll</t>
        </is>
      </c>
      <c r="C26">
        <f>SUM(C24:C25)</f>
        <v>59144</v>
      </c>
      <c r="D26">
        <f>SUM(D24:D25)</f>
        <v>58712</v>
      </c>
      <c r="E26">
        <f>SUM(E24:E25)</f>
        <v>58280</v>
      </c>
      <c r="F26">
        <f>SUM(F24:F25)</f>
        <v>57848</v>
      </c>
      <c r="G26">
        <f>SUM(G24:G25)</f>
        <v>57416</v>
      </c>
      <c r="H26">
        <f>SUM(H24:H25)</f>
        <v>56984</v>
      </c>
      <c r="I26">
        <f>SUM(I24:I25)</f>
        <v>56552</v>
      </c>
      <c r="J26">
        <f>SUM(J24:J25)</f>
        <v>56120</v>
      </c>
      <c r="K26">
        <f>SUM(K24:K25)</f>
        <v>55688</v>
      </c>
      <c r="L26">
        <f>SUM(L24:L25)</f>
        <v>55256</v>
      </c>
      <c r="M26">
        <f>SUM(M24:M25)</f>
        <v>54824</v>
      </c>
      <c r="N26">
        <f>SUM(N24:N25)</f>
        <v>54392</v>
      </c>
      <c r="O26">
        <f>SUM(O24:O25)</f>
        <v>53960</v>
      </c>
      <c r="P26">
        <f>SUM(P24:P25)</f>
        <v>53528</v>
      </c>
      <c r="Q26">
        <f>SUM(Q24:Q25)</f>
        <v>53096</v>
      </c>
      <c r="R26">
        <f>SUM(R24:R25)</f>
        <v>52664</v>
      </c>
      <c r="S26">
        <f>SUM(S24:S25)</f>
        <v>52232</v>
      </c>
      <c r="T26">
        <f>SUM(T24:T25)</f>
        <v>51800</v>
      </c>
    </row>
    <row r="27">
      <c r="A27" t="inlineStr">
        <is>
          <t>Total Operating Expenses</t>
        </is>
      </c>
      <c r="C27">
        <f>(SUM(C19:C22) + C26)</f>
        <v>79004.0</v>
      </c>
      <c r="D27">
        <f>(SUM(D19:D22) + D26)</f>
        <v>78492.0</v>
      </c>
      <c r="E27">
        <f>(SUM(E19:E22) + E26)</f>
        <v>77980.0</v>
      </c>
      <c r="F27">
        <f>(SUM(F19:F22) + F26)</f>
        <v>77468.0</v>
      </c>
      <c r="G27">
        <f>(SUM(G19:G22) + G26)</f>
        <v>76956.0</v>
      </c>
      <c r="H27">
        <f>(SUM(H19:H22) + H26)</f>
        <v>76444.0</v>
      </c>
      <c r="I27">
        <f>(SUM(I19:I22) + I26)</f>
        <v>75932.0</v>
      </c>
      <c r="J27">
        <f>(SUM(J19:J22) + J26)</f>
        <v>75420.0</v>
      </c>
      <c r="K27">
        <f>(SUM(K19:K22) + K26)</f>
        <v>74908.0</v>
      </c>
      <c r="L27">
        <f>(SUM(L19:L22) + L26)</f>
        <v>74396.0</v>
      </c>
      <c r="M27">
        <f>(SUM(M19:M22) + M26)</f>
        <v>73884.0</v>
      </c>
      <c r="N27">
        <f>(SUM(N19:N22) + N26)</f>
        <v>73372.0</v>
      </c>
      <c r="O27">
        <f>(SUM(O19:O22) + O26)</f>
        <v>72860.0</v>
      </c>
      <c r="P27">
        <f>(SUM(P19:P22) + P26)</f>
        <v>72348.0</v>
      </c>
      <c r="Q27">
        <f>(SUM(Q19:Q22) + Q26)</f>
        <v>71836.0</v>
      </c>
      <c r="R27">
        <f>(SUM(R19:R22) + R26)</f>
        <v>71324.0</v>
      </c>
      <c r="S27">
        <f>(SUM(S19:S22) + S26)</f>
        <v>70812.0</v>
      </c>
      <c r="T27">
        <f>(SUM(T19:T22) + T26)</f>
        <v>70300.0</v>
      </c>
    </row>
    <row r="29">
      <c r="B29" t="inlineStr">
        <is>
          <t>Operating Income</t>
        </is>
      </c>
      <c r="C29">
        <f>(C16 - C27)</f>
        <v>73556.0</v>
      </c>
      <c r="D29">
        <f>(D16 - D27)</f>
        <v>71388.0</v>
      </c>
      <c r="E29">
        <f>(E16 - E27)</f>
        <v>69220.0</v>
      </c>
      <c r="F29">
        <f>(F16 - F27)</f>
        <v>67052.0</v>
      </c>
      <c r="G29">
        <f>(G16 - G27)</f>
        <v>64884.0</v>
      </c>
      <c r="H29">
        <f>(H16 - H27)</f>
        <v>62716.0</v>
      </c>
      <c r="I29">
        <f>(I16 - I27)</f>
        <v>60548.0</v>
      </c>
      <c r="J29">
        <f>(J16 - J27)</f>
        <v>58380.0</v>
      </c>
      <c r="K29">
        <f>(K16 - K27)</f>
        <v>56212.0</v>
      </c>
      <c r="L29">
        <f>(L16 - L27)</f>
        <v>54044.0</v>
      </c>
      <c r="M29">
        <f>(M16 - M27)</f>
        <v>51876.0</v>
      </c>
      <c r="N29">
        <f>(N16 - N27)</f>
        <v>49708.0</v>
      </c>
      <c r="O29">
        <f>(O16 - O27)</f>
        <v>47540.0</v>
      </c>
      <c r="P29">
        <f>(P16 - P27)</f>
        <v>45372.0</v>
      </c>
      <c r="Q29">
        <f>(Q16 - Q27)</f>
        <v>43204.0</v>
      </c>
      <c r="R29">
        <f>(R16 - R27)</f>
        <v>41036.0</v>
      </c>
      <c r="S29">
        <f>(S16 - S27)</f>
        <v>38868.0</v>
      </c>
      <c r="T29">
        <f>(T16 - T27)</f>
        <v>36700.0</v>
      </c>
    </row>
    <row r="31">
      <c r="B31" t="inlineStr">
        <is>
          <t>Net Income</t>
        </is>
      </c>
      <c r="C31">
        <f>(C29 + 0)</f>
        <v>73556.0</v>
      </c>
      <c r="D31">
        <f>(D29 + 0)</f>
        <v>71388.0</v>
      </c>
      <c r="E31">
        <f>(E29 + 0)</f>
        <v>69220.0</v>
      </c>
      <c r="F31">
        <f>(F29 + 0)</f>
        <v>67052.0</v>
      </c>
      <c r="G31">
        <f>(G29 + 0)</f>
        <v>64884.0</v>
      </c>
      <c r="H31">
        <f>(H29 + 0)</f>
        <v>62716.0</v>
      </c>
      <c r="I31">
        <f>(I29 + 0)</f>
        <v>60548.0</v>
      </c>
      <c r="J31">
        <f>(J29 + 0)</f>
        <v>58380.0</v>
      </c>
      <c r="K31">
        <f>(K29 + 0)</f>
        <v>56212.0</v>
      </c>
      <c r="L31">
        <f>(L29 + 0)</f>
        <v>54044.0</v>
      </c>
      <c r="M31">
        <f>(M29 + 0)</f>
        <v>51876.0</v>
      </c>
      <c r="N31">
        <f>(N29 + 0)</f>
        <v>49708.0</v>
      </c>
      <c r="O31">
        <f>(O29 + 0)</f>
        <v>47540.0</v>
      </c>
      <c r="P31">
        <f>(P29 + 0)</f>
        <v>45372.0</v>
      </c>
      <c r="Q31">
        <f>(Q29 + 0)</f>
        <v>43204.0</v>
      </c>
      <c r="R31">
        <f>(R29 + 0)</f>
        <v>41036.0</v>
      </c>
      <c r="S31">
        <f>(S29 + 0)</f>
        <v>38868.0</v>
      </c>
      <c r="T31">
        <f>(T29 + 0)</f>
        <v>36700.0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2026-10-11T07:21:19Z</dcterms:created>
  <dcterms:modified xsi:type="dcterms:W3CDTF">2026-10-11T07:21:19Z</dcterms:modified>
</cp:coreProperties>
</file>