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come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Income Statement — SYNTHETIC TEST DATA</t>
        </is>
      </c>
    </row>
    <row r="2">
      <c r="A2" t="inlineStr">
        <is>
          <t>Company E (SYNTHETIC)</t>
        </is>
      </c>
    </row>
    <row r="3">
      <c r="A3" t="inlineStr">
        <is>
          <t>Scenario: pronounced Nov/Dec seasonal peak</t>
        </is>
      </c>
    </row>
    <row r="4">
      <c r="A4" t="inlineStr">
        <is>
          <t>For the month ended Jun 2026</t>
        </is>
      </c>
    </row>
    <row r="5">
      <c r="B5" t="inlineStr">
        <is>
          <t>Account</t>
        </is>
      </c>
      <c r="C5" t="inlineStr">
        <is>
          <t>Jun 2026</t>
        </is>
      </c>
      <c r="D5" t="inlineStr">
        <is>
          <t>May 2026</t>
        </is>
      </c>
      <c r="E5" t="inlineStr">
        <is>
          <t>Apr 2026</t>
        </is>
      </c>
      <c r="F5" t="inlineStr">
        <is>
          <t>Mar 2026</t>
        </is>
      </c>
      <c r="G5" t="inlineStr">
        <is>
          <t>Feb 2026</t>
        </is>
      </c>
      <c r="H5" t="inlineStr">
        <is>
          <t>Jan 2026</t>
        </is>
      </c>
      <c r="I5" t="inlineStr">
        <is>
          <t>Dec 2025</t>
        </is>
      </c>
      <c r="J5" t="inlineStr">
        <is>
          <t>Nov 2025</t>
        </is>
      </c>
      <c r="K5" t="inlineStr">
        <is>
          <t>Oct 2025</t>
        </is>
      </c>
      <c r="L5" t="inlineStr">
        <is>
          <t>Sep 2025</t>
        </is>
      </c>
      <c r="M5" t="inlineStr">
        <is>
          <t>Aug 2025</t>
        </is>
      </c>
      <c r="N5" t="inlineStr">
        <is>
          <t>Jul 2025</t>
        </is>
      </c>
      <c r="O5" t="inlineStr">
        <is>
          <t>Jun 2025</t>
        </is>
      </c>
      <c r="P5" t="inlineStr">
        <is>
          <t>May 2025</t>
        </is>
      </c>
      <c r="Q5" t="inlineStr">
        <is>
          <t>Apr 2025</t>
        </is>
      </c>
      <c r="R5" t="inlineStr">
        <is>
          <t>Mar 2025</t>
        </is>
      </c>
      <c r="S5" t="inlineStr">
        <is>
          <t>Feb 2025</t>
        </is>
      </c>
      <c r="T5" t="inlineStr">
        <is>
          <t>Jan 2025</t>
        </is>
      </c>
    </row>
    <row r="6">
      <c r="A6" t="inlineStr">
        <is>
          <t>Income</t>
        </is>
      </c>
    </row>
    <row r="7">
      <c r="B7" t="inlineStr">
        <is>
          <t>Retail Revenue</t>
        </is>
      </c>
      <c r="C7" t="n">
        <v>96120</v>
      </c>
      <c r="D7" t="n">
        <v>95760</v>
      </c>
      <c r="E7" t="n">
        <v>95400</v>
      </c>
      <c r="F7" t="n">
        <v>95040</v>
      </c>
      <c r="G7" t="n">
        <v>94680</v>
      </c>
      <c r="H7" t="n">
        <v>94320</v>
      </c>
      <c r="I7" t="n">
        <v>238960</v>
      </c>
      <c r="J7" t="n">
        <v>238600</v>
      </c>
      <c r="K7" t="n">
        <v>93240</v>
      </c>
      <c r="L7" t="n">
        <v>92880</v>
      </c>
      <c r="M7" t="n">
        <v>92520</v>
      </c>
      <c r="N7" t="n">
        <v>92160</v>
      </c>
      <c r="O7" t="n">
        <v>91800</v>
      </c>
      <c r="P7" t="n">
        <v>91440</v>
      </c>
      <c r="Q7" t="n">
        <v>91080</v>
      </c>
      <c r="R7" t="n">
        <v>90720</v>
      </c>
      <c r="S7" t="n">
        <v>90360</v>
      </c>
      <c r="T7" t="n">
        <v>90000</v>
      </c>
    </row>
    <row r="8">
      <c r="B8" t="inlineStr">
        <is>
          <t>Wholesale Revenue</t>
        </is>
      </c>
      <c r="C8" t="n">
        <v>42720</v>
      </c>
      <c r="D8" t="n">
        <v>42560</v>
      </c>
      <c r="E8" t="n">
        <v>42400</v>
      </c>
      <c r="F8" t="n">
        <v>42240</v>
      </c>
      <c r="G8" t="n">
        <v>42080</v>
      </c>
      <c r="H8" t="n">
        <v>41920</v>
      </c>
      <c r="I8" t="n">
        <v>41760</v>
      </c>
      <c r="J8" t="n">
        <v>79600</v>
      </c>
      <c r="K8" t="n">
        <v>79440</v>
      </c>
      <c r="L8" t="n">
        <v>41280</v>
      </c>
      <c r="M8" t="n">
        <v>41120</v>
      </c>
      <c r="N8" t="n">
        <v>40960</v>
      </c>
      <c r="O8" t="n">
        <v>40800</v>
      </c>
      <c r="P8" t="n">
        <v>40640</v>
      </c>
      <c r="Q8" t="n">
        <v>40480</v>
      </c>
      <c r="R8" t="n">
        <v>40320</v>
      </c>
      <c r="S8" t="n">
        <v>40160</v>
      </c>
      <c r="T8" t="n">
        <v>40000</v>
      </c>
    </row>
    <row r="9">
      <c r="A9" t="inlineStr">
        <is>
          <t>Total Income</t>
        </is>
      </c>
      <c r="C9">
        <f>SUM(C7:C8)</f>
        <v>138840.0</v>
      </c>
      <c r="D9">
        <f>SUM(D7:D8)</f>
        <v>138320.0</v>
      </c>
      <c r="E9">
        <f>SUM(E7:E8)</f>
        <v>137800.0</v>
      </c>
      <c r="F9">
        <f>SUM(F7:F8)</f>
        <v>137280.0</v>
      </c>
      <c r="G9">
        <f>SUM(G7:G8)</f>
        <v>136760.0</v>
      </c>
      <c r="H9">
        <f>SUM(H7:H8)</f>
        <v>136240.0</v>
      </c>
      <c r="I9">
        <f>SUM(I7:I8)</f>
        <v>280720.0</v>
      </c>
      <c r="J9">
        <f>SUM(J7:J8)</f>
        <v>318200.0</v>
      </c>
      <c r="K9">
        <f>SUM(K7:K8)</f>
        <v>172680.0</v>
      </c>
      <c r="L9">
        <f>SUM(L7:L8)</f>
        <v>134160.0</v>
      </c>
      <c r="M9">
        <f>SUM(M7:M8)</f>
        <v>133640.0</v>
      </c>
      <c r="N9">
        <f>SUM(N7:N8)</f>
        <v>133120.0</v>
      </c>
      <c r="O9">
        <f>SUM(O7:O8)</f>
        <v>132600.0</v>
      </c>
      <c r="P9">
        <f>SUM(P7:P8)</f>
        <v>132080.0</v>
      </c>
      <c r="Q9">
        <f>SUM(Q7:Q8)</f>
        <v>131560.0</v>
      </c>
      <c r="R9">
        <f>SUM(R7:R8)</f>
        <v>131040.0</v>
      </c>
      <c r="S9">
        <f>SUM(S7:S8)</f>
        <v>130520.0</v>
      </c>
      <c r="T9">
        <f>SUM(T7:T8)</f>
        <v>130000.0</v>
      </c>
    </row>
    <row r="11">
      <c r="A11" t="inlineStr">
        <is>
          <t>Cost of Goods Sold</t>
        </is>
      </c>
    </row>
    <row r="12">
      <c r="B12" t="inlineStr">
        <is>
          <t>Cost of Goods</t>
        </is>
      </c>
      <c r="C12" t="n">
        <v>51264</v>
      </c>
      <c r="D12" t="n">
        <v>51072</v>
      </c>
      <c r="E12" t="n">
        <v>50880</v>
      </c>
      <c r="F12" t="n">
        <v>50688</v>
      </c>
      <c r="G12" t="n">
        <v>50496</v>
      </c>
      <c r="H12" t="n">
        <v>50304</v>
      </c>
      <c r="I12" t="n">
        <v>122112</v>
      </c>
      <c r="J12" t="n">
        <v>121920</v>
      </c>
      <c r="K12" t="n">
        <v>49728</v>
      </c>
      <c r="L12" t="n">
        <v>49536</v>
      </c>
      <c r="M12" t="n">
        <v>49344</v>
      </c>
      <c r="N12" t="n">
        <v>49152</v>
      </c>
      <c r="O12" t="n">
        <v>48960</v>
      </c>
      <c r="P12" t="n">
        <v>48768</v>
      </c>
      <c r="Q12" t="n">
        <v>48576</v>
      </c>
      <c r="R12" t="n">
        <v>48384</v>
      </c>
      <c r="S12" t="n">
        <v>48192</v>
      </c>
      <c r="T12" t="n">
        <v>48000</v>
      </c>
    </row>
    <row r="13">
      <c r="B13" t="inlineStr">
        <is>
          <t>Fulfilment</t>
        </is>
      </c>
      <c r="C13" t="n">
        <v>9612</v>
      </c>
      <c r="D13" t="n">
        <v>9576</v>
      </c>
      <c r="E13" t="n">
        <v>9540</v>
      </c>
      <c r="F13" t="n">
        <v>9504</v>
      </c>
      <c r="G13" t="n">
        <v>9468</v>
      </c>
      <c r="H13" t="n">
        <v>9432</v>
      </c>
      <c r="I13" t="n">
        <v>23396</v>
      </c>
      <c r="J13" t="n">
        <v>23360</v>
      </c>
      <c r="K13" t="n">
        <v>9324</v>
      </c>
      <c r="L13" t="n">
        <v>9288</v>
      </c>
      <c r="M13" t="n">
        <v>9252</v>
      </c>
      <c r="N13" t="n">
        <v>9216</v>
      </c>
      <c r="O13" t="n">
        <v>9180</v>
      </c>
      <c r="P13" t="n">
        <v>9144</v>
      </c>
      <c r="Q13" t="n">
        <v>9108</v>
      </c>
      <c r="R13" t="n">
        <v>9072</v>
      </c>
      <c r="S13" t="n">
        <v>9036</v>
      </c>
      <c r="T13" t="n">
        <v>9000</v>
      </c>
    </row>
    <row r="14">
      <c r="A14" t="inlineStr">
        <is>
          <t>Total Cost of Goods Sold</t>
        </is>
      </c>
      <c r="C14">
        <f>SUM(C12:C13)</f>
        <v>60876.0</v>
      </c>
      <c r="D14">
        <f>SUM(D12:D13)</f>
        <v>60648.0</v>
      </c>
      <c r="E14">
        <f>SUM(E12:E13)</f>
        <v>60420.0</v>
      </c>
      <c r="F14">
        <f>SUM(F12:F13)</f>
        <v>60192.0</v>
      </c>
      <c r="G14">
        <f>SUM(G12:G13)</f>
        <v>59964.0</v>
      </c>
      <c r="H14">
        <f>SUM(H12:H13)</f>
        <v>59736.0</v>
      </c>
      <c r="I14">
        <f>SUM(I12:I13)</f>
        <v>145508.0</v>
      </c>
      <c r="J14">
        <f>SUM(J12:J13)</f>
        <v>145280.0</v>
      </c>
      <c r="K14">
        <f>SUM(K12:K13)</f>
        <v>59052.0</v>
      </c>
      <c r="L14">
        <f>SUM(L12:L13)</f>
        <v>58824.0</v>
      </c>
      <c r="M14">
        <f>SUM(M12:M13)</f>
        <v>58596.0</v>
      </c>
      <c r="N14">
        <f>SUM(N12:N13)</f>
        <v>58368.0</v>
      </c>
      <c r="O14">
        <f>SUM(O12:O13)</f>
        <v>58140.0</v>
      </c>
      <c r="P14">
        <f>SUM(P12:P13)</f>
        <v>57912.0</v>
      </c>
      <c r="Q14">
        <f>SUM(Q12:Q13)</f>
        <v>57684.0</v>
      </c>
      <c r="R14">
        <f>SUM(R12:R13)</f>
        <v>57456.0</v>
      </c>
      <c r="S14">
        <f>SUM(S12:S13)</f>
        <v>57228.0</v>
      </c>
      <c r="T14">
        <f>SUM(T12:T13)</f>
        <v>57000.0</v>
      </c>
    </row>
    <row r="16">
      <c r="B16" t="inlineStr">
        <is>
          <t>Gross Profit</t>
        </is>
      </c>
      <c r="C16">
        <f>(C9 - C14)</f>
        <v>77964.0</v>
      </c>
      <c r="D16">
        <f>(D9 - D14)</f>
        <v>77672.0</v>
      </c>
      <c r="E16">
        <f>(E9 - E14)</f>
        <v>77380.0</v>
      </c>
      <c r="F16">
        <f>(F9 - F14)</f>
        <v>77088.0</v>
      </c>
      <c r="G16">
        <f>(G9 - G14)</f>
        <v>76796.0</v>
      </c>
      <c r="H16">
        <f>(H9 - H14)</f>
        <v>76504.0</v>
      </c>
      <c r="I16">
        <f>(I9 - I14)</f>
        <v>135212.0</v>
      </c>
      <c r="J16">
        <f>(J9 - J14)</f>
        <v>172920.0</v>
      </c>
      <c r="K16">
        <f>(K9 - K14)</f>
        <v>113628.0</v>
      </c>
      <c r="L16">
        <f>(L9 - L14)</f>
        <v>75336.0</v>
      </c>
      <c r="M16">
        <f>(M9 - M14)</f>
        <v>75044.0</v>
      </c>
      <c r="N16">
        <f>(N9 - N14)</f>
        <v>74752.0</v>
      </c>
      <c r="O16">
        <f>(O9 - O14)</f>
        <v>74460.0</v>
      </c>
      <c r="P16">
        <f>(P9 - P14)</f>
        <v>74168.0</v>
      </c>
      <c r="Q16">
        <f>(Q9 - Q14)</f>
        <v>73876.0</v>
      </c>
      <c r="R16">
        <f>(R9 - R14)</f>
        <v>73584.0</v>
      </c>
      <c r="S16">
        <f>(S9 - S14)</f>
        <v>73292.0</v>
      </c>
      <c r="T16">
        <f>(T9 - T14)</f>
        <v>73000.0</v>
      </c>
    </row>
    <row r="18">
      <c r="A18" t="inlineStr">
        <is>
          <t>Operating Expenses</t>
        </is>
      </c>
    </row>
    <row r="19">
      <c r="B19" t="inlineStr">
        <is>
          <t>Rent</t>
        </is>
      </c>
      <c r="C19" t="n">
        <v>13000</v>
      </c>
      <c r="D19" t="n">
        <v>13000</v>
      </c>
      <c r="E19" t="n">
        <v>13000</v>
      </c>
      <c r="F19" t="n">
        <v>13000</v>
      </c>
      <c r="G19" t="n">
        <v>13000</v>
      </c>
      <c r="H19" t="n">
        <v>13000</v>
      </c>
      <c r="I19" t="n">
        <v>13000</v>
      </c>
      <c r="J19" t="n">
        <v>13000</v>
      </c>
      <c r="K19" t="n">
        <v>13000</v>
      </c>
      <c r="L19" t="n">
        <v>13000</v>
      </c>
      <c r="M19" t="n">
        <v>13000</v>
      </c>
      <c r="N19" t="n">
        <v>13000</v>
      </c>
      <c r="O19" t="n">
        <v>13000</v>
      </c>
      <c r="P19" t="n">
        <v>13000</v>
      </c>
      <c r="Q19" t="n">
        <v>13000</v>
      </c>
      <c r="R19" t="n">
        <v>13000</v>
      </c>
      <c r="S19" t="n">
        <v>13000</v>
      </c>
      <c r="T19" t="n">
        <v>13000</v>
      </c>
    </row>
    <row r="20">
      <c r="B20" t="inlineStr">
        <is>
          <t>Marketing/Advertising</t>
        </is>
      </c>
      <c r="C20" t="n">
        <v>12816</v>
      </c>
      <c r="D20" t="n">
        <v>12768</v>
      </c>
      <c r="E20" t="n">
        <v>12720</v>
      </c>
      <c r="F20" t="n">
        <v>12672</v>
      </c>
      <c r="G20" t="n">
        <v>12624</v>
      </c>
      <c r="H20" t="n">
        <v>12576</v>
      </c>
      <c r="I20" t="n">
        <v>12528</v>
      </c>
      <c r="J20" t="n">
        <v>38480</v>
      </c>
      <c r="K20" t="n">
        <v>38432</v>
      </c>
      <c r="L20" t="n">
        <v>12384</v>
      </c>
      <c r="M20" t="n">
        <v>12336</v>
      </c>
      <c r="N20" t="n">
        <v>12288</v>
      </c>
      <c r="O20" t="n">
        <v>12240</v>
      </c>
      <c r="P20" t="n">
        <v>12192</v>
      </c>
      <c r="Q20" t="n">
        <v>12144</v>
      </c>
      <c r="R20" t="n">
        <v>12096</v>
      </c>
      <c r="S20" t="n">
        <v>12048</v>
      </c>
      <c r="T20" t="n">
        <v>12000</v>
      </c>
    </row>
    <row r="21">
      <c r="B21" t="inlineStr">
        <is>
          <t>Software &amp; SaaS</t>
        </is>
      </c>
      <c r="C21" t="n">
        <v>4100</v>
      </c>
      <c r="D21" t="n">
        <v>4100</v>
      </c>
      <c r="E21" t="n">
        <v>4100</v>
      </c>
      <c r="F21" t="n">
        <v>4100</v>
      </c>
      <c r="G21" t="n">
        <v>4100</v>
      </c>
      <c r="H21" t="n">
        <v>4100</v>
      </c>
      <c r="I21" t="n">
        <v>4100</v>
      </c>
      <c r="J21" t="n">
        <v>4100</v>
      </c>
      <c r="K21" t="n">
        <v>4100</v>
      </c>
      <c r="L21" t="n">
        <v>4100</v>
      </c>
      <c r="M21" t="n">
        <v>4100</v>
      </c>
      <c r="N21" t="n">
        <v>4100</v>
      </c>
      <c r="O21" t="n">
        <v>4100</v>
      </c>
      <c r="P21" t="n">
        <v>4100</v>
      </c>
      <c r="Q21" t="n">
        <v>4100</v>
      </c>
      <c r="R21" t="n">
        <v>4100</v>
      </c>
      <c r="S21" t="n">
        <v>4100</v>
      </c>
      <c r="T21" t="n">
        <v>4100</v>
      </c>
    </row>
    <row r="22">
      <c r="B22" t="inlineStr">
        <is>
          <t>Store Payroll</t>
        </is>
      </c>
    </row>
    <row r="23">
      <c r="B23" t="inlineStr">
        <is>
          <t>Store - Payroll</t>
        </is>
      </c>
      <c r="C23" t="n">
        <v>55536</v>
      </c>
      <c r="D23" t="n">
        <v>55328</v>
      </c>
      <c r="E23" t="n">
        <v>55120</v>
      </c>
      <c r="F23" t="n">
        <v>54912</v>
      </c>
      <c r="G23" t="n">
        <v>54704</v>
      </c>
      <c r="H23" t="n">
        <v>54496</v>
      </c>
      <c r="I23" t="n">
        <v>78288</v>
      </c>
      <c r="J23" t="n">
        <v>78080</v>
      </c>
      <c r="K23" t="n">
        <v>53872</v>
      </c>
      <c r="L23" t="n">
        <v>53664</v>
      </c>
      <c r="M23" t="n">
        <v>53456</v>
      </c>
      <c r="N23" t="n">
        <v>53248</v>
      </c>
      <c r="O23" t="n">
        <v>53040</v>
      </c>
      <c r="P23" t="n">
        <v>52832</v>
      </c>
      <c r="Q23" t="n">
        <v>52624</v>
      </c>
      <c r="R23" t="n">
        <v>52416</v>
      </c>
      <c r="S23" t="n">
        <v>52208</v>
      </c>
      <c r="T23" t="n">
        <v>52000</v>
      </c>
    </row>
    <row r="24">
      <c r="B24" t="inlineStr">
        <is>
          <t>Store - Payroll Taxes</t>
        </is>
      </c>
      <c r="C24" t="n">
        <v>4442.88</v>
      </c>
      <c r="D24" t="n">
        <v>4426.24</v>
      </c>
      <c r="E24" t="n">
        <v>4409.6</v>
      </c>
      <c r="F24" t="n">
        <v>4392.96</v>
      </c>
      <c r="G24" t="n">
        <v>4376.32</v>
      </c>
      <c r="H24" t="n">
        <v>4359.68</v>
      </c>
      <c r="I24" t="n">
        <v>6263.04</v>
      </c>
      <c r="J24" t="n">
        <v>6246.4</v>
      </c>
      <c r="K24" t="n">
        <v>4309.76</v>
      </c>
      <c r="L24" t="n">
        <v>4293.12</v>
      </c>
      <c r="M24" t="n">
        <v>4276.48</v>
      </c>
      <c r="N24" t="n">
        <v>4259.84</v>
      </c>
      <c r="O24" t="n">
        <v>4243.2</v>
      </c>
      <c r="P24" t="n">
        <v>4226.56</v>
      </c>
      <c r="Q24" t="n">
        <v>4209.92</v>
      </c>
      <c r="R24" t="n">
        <v>4193.28</v>
      </c>
      <c r="S24" t="n">
        <v>4176.64</v>
      </c>
      <c r="T24" t="n">
        <v>4160</v>
      </c>
    </row>
    <row r="25">
      <c r="B25" t="inlineStr">
        <is>
          <t>Total Store Payroll</t>
        </is>
      </c>
      <c r="C25">
        <f>SUM(C23:C24)</f>
        <v>59978.88</v>
      </c>
      <c r="D25">
        <f>SUM(D23:D24)</f>
        <v>59754.24</v>
      </c>
      <c r="E25">
        <f>SUM(E23:E24)</f>
        <v>59529.6</v>
      </c>
      <c r="F25">
        <f>SUM(F23:F24)</f>
        <v>59304.96</v>
      </c>
      <c r="G25">
        <f>SUM(G23:G24)</f>
        <v>59080.32</v>
      </c>
      <c r="H25">
        <f>SUM(H23:H24)</f>
        <v>58855.68</v>
      </c>
      <c r="I25">
        <f>SUM(I23:I24)</f>
        <v>84551.04</v>
      </c>
      <c r="J25">
        <f>SUM(J23:J24)</f>
        <v>84326.4</v>
      </c>
      <c r="K25">
        <f>SUM(K23:K24)</f>
        <v>58181.76</v>
      </c>
      <c r="L25">
        <f>SUM(L23:L24)</f>
        <v>57957.12</v>
      </c>
      <c r="M25">
        <f>SUM(M23:M24)</f>
        <v>57732.48</v>
      </c>
      <c r="N25">
        <f>SUM(N23:N24)</f>
        <v>57507.84</v>
      </c>
      <c r="O25">
        <f>SUM(O23:O24)</f>
        <v>57283.2</v>
      </c>
      <c r="P25">
        <f>SUM(P23:P24)</f>
        <v>57058.56</v>
      </c>
      <c r="Q25">
        <f>SUM(Q23:Q24)</f>
        <v>56833.92</v>
      </c>
      <c r="R25">
        <f>SUM(R23:R24)</f>
        <v>56609.28</v>
      </c>
      <c r="S25">
        <f>SUM(S23:S24)</f>
        <v>56384.64</v>
      </c>
      <c r="T25">
        <f>SUM(T23:T24)</f>
        <v>56160.0</v>
      </c>
    </row>
    <row r="26">
      <c r="A26" t="inlineStr">
        <is>
          <t>Total Operating Expenses</t>
        </is>
      </c>
      <c r="C26">
        <f>(SUM(C19:C21) + C25)</f>
        <v>89894.88</v>
      </c>
      <c r="D26">
        <f>(SUM(D19:D21) + D25)</f>
        <v>89622.24</v>
      </c>
      <c r="E26">
        <f>(SUM(E19:E21) + E25)</f>
        <v>89349.6</v>
      </c>
      <c r="F26">
        <f>(SUM(F19:F21) + F25)</f>
        <v>89076.96</v>
      </c>
      <c r="G26">
        <f>(SUM(G19:G21) + G25)</f>
        <v>88804.32</v>
      </c>
      <c r="H26">
        <f>(SUM(H19:H21) + H25)</f>
        <v>88531.68</v>
      </c>
      <c r="I26">
        <f>(SUM(I19:I21) + I25)</f>
        <v>114179.04</v>
      </c>
      <c r="J26">
        <f>(SUM(J19:J21) + J25)</f>
        <v>139906.4</v>
      </c>
      <c r="K26">
        <f>(SUM(K19:K21) + K25)</f>
        <v>113713.76</v>
      </c>
      <c r="L26">
        <f>(SUM(L19:L21) + L25)</f>
        <v>87441.12</v>
      </c>
      <c r="M26">
        <f>(SUM(M19:M21) + M25)</f>
        <v>87168.48</v>
      </c>
      <c r="N26">
        <f>(SUM(N19:N21) + N25)</f>
        <v>86895.84</v>
      </c>
      <c r="O26">
        <f>(SUM(O19:O21) + O25)</f>
        <v>86623.2</v>
      </c>
      <c r="P26">
        <f>(SUM(P19:P21) + P25)</f>
        <v>86350.56</v>
      </c>
      <c r="Q26">
        <f>(SUM(Q19:Q21) + Q25)</f>
        <v>86077.92</v>
      </c>
      <c r="R26">
        <f>(SUM(R19:R21) + R25)</f>
        <v>85805.28</v>
      </c>
      <c r="S26">
        <f>(SUM(S19:S21) + S25)</f>
        <v>85532.64</v>
      </c>
      <c r="T26">
        <f>(SUM(T19:T21) + T25)</f>
        <v>85260.0</v>
      </c>
    </row>
    <row r="28">
      <c r="B28" t="inlineStr">
        <is>
          <t>Operating Income</t>
        </is>
      </c>
      <c r="C28">
        <f>(C16 - C26)</f>
        <v>-11930.88</v>
      </c>
      <c r="D28">
        <f>(D16 - D26)</f>
        <v>-11950.24</v>
      </c>
      <c r="E28">
        <f>(E16 - E26)</f>
        <v>-11969.6</v>
      </c>
      <c r="F28">
        <f>(F16 - F26)</f>
        <v>-11988.96</v>
      </c>
      <c r="G28">
        <f>(G16 - G26)</f>
        <v>-12008.32</v>
      </c>
      <c r="H28">
        <f>(H16 - H26)</f>
        <v>-12027.68</v>
      </c>
      <c r="I28">
        <f>(I16 - I26)</f>
        <v>21032.96</v>
      </c>
      <c r="J28">
        <f>(J16 - J26)</f>
        <v>33013.6</v>
      </c>
      <c r="K28">
        <f>(K16 - K26)</f>
        <v>-85.76</v>
      </c>
      <c r="L28">
        <f>(L16 - L26)</f>
        <v>-12105.12</v>
      </c>
      <c r="M28">
        <f>(M16 - M26)</f>
        <v>-12124.48</v>
      </c>
      <c r="N28">
        <f>(N16 - N26)</f>
        <v>-12143.84</v>
      </c>
      <c r="O28">
        <f>(O16 - O26)</f>
        <v>-12163.2</v>
      </c>
      <c r="P28">
        <f>(P16 - P26)</f>
        <v>-12182.56</v>
      </c>
      <c r="Q28">
        <f>(Q16 - Q26)</f>
        <v>-12201.92</v>
      </c>
      <c r="R28">
        <f>(R16 - R26)</f>
        <v>-12221.28</v>
      </c>
      <c r="S28">
        <f>(S16 - S26)</f>
        <v>-12240.64</v>
      </c>
      <c r="T28">
        <f>(T16 - T26)</f>
        <v>-12260.0</v>
      </c>
    </row>
    <row r="30">
      <c r="B30" t="inlineStr">
        <is>
          <t>Net Income</t>
        </is>
      </c>
      <c r="C30">
        <f>(C28 + 0)</f>
        <v>-11930.88</v>
      </c>
      <c r="D30">
        <f>(D28 + 0)</f>
        <v>-11950.24</v>
      </c>
      <c r="E30">
        <f>(E28 + 0)</f>
        <v>-11969.6</v>
      </c>
      <c r="F30">
        <f>(F28 + 0)</f>
        <v>-11988.96</v>
      </c>
      <c r="G30">
        <f>(G28 + 0)</f>
        <v>-12008.32</v>
      </c>
      <c r="H30">
        <f>(H28 + 0)</f>
        <v>-12027.68</v>
      </c>
      <c r="I30">
        <f>(I28 + 0)</f>
        <v>21032.96</v>
      </c>
      <c r="J30">
        <f>(J28 + 0)</f>
        <v>33013.6</v>
      </c>
      <c r="K30">
        <f>(K28 + 0)</f>
        <v>-85.76</v>
      </c>
      <c r="L30">
        <f>(L28 + 0)</f>
        <v>-12105.12</v>
      </c>
      <c r="M30">
        <f>(M28 + 0)</f>
        <v>-12124.48</v>
      </c>
      <c r="N30">
        <f>(N28 + 0)</f>
        <v>-12143.84</v>
      </c>
      <c r="O30">
        <f>(O28 + 0)</f>
        <v>-12163.2</v>
      </c>
      <c r="P30">
        <f>(P28 + 0)</f>
        <v>-12182.56</v>
      </c>
      <c r="Q30">
        <f>(Q28 + 0)</f>
        <v>-12201.92</v>
      </c>
      <c r="R30">
        <f>(R28 + 0)</f>
        <v>-12221.28</v>
      </c>
      <c r="S30">
        <f>(S28 + 0)</f>
        <v>-12240.64</v>
      </c>
      <c r="T30">
        <f>(T28 + 0)</f>
        <v>-12260.0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2026-10-11T07:32:46Z</dcterms:created>
  <dcterms:modified xsi:type="dcterms:W3CDTF">2026-10-11T07:32:46Z</dcterms:modified>
</cp:coreProperties>
</file>