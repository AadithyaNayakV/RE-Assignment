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G (SYNTHETIC)</t>
        </is>
      </c>
    </row>
    <row r="3">
      <c r="A3" t="inlineStr">
        <is>
          <t>Scenario: two months absent from the workbook and one blank cell; oldest-first layout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May 2025</t>
        </is>
      </c>
      <c r="G5" t="inlineStr">
        <is>
          <t>Jun 2025</t>
        </is>
      </c>
      <c r="H5" t="inlineStr">
        <is>
          <t>Jul 2025</t>
        </is>
      </c>
      <c r="I5" t="inlineStr">
        <is>
          <t>Aug 2025</t>
        </is>
      </c>
      <c r="J5" t="inlineStr">
        <is>
          <t>Oct 2025</t>
        </is>
      </c>
      <c r="K5" t="inlineStr">
        <is>
          <t>Nov 2025</t>
        </is>
      </c>
      <c r="L5" t="inlineStr">
        <is>
          <t>Dec 2025</t>
        </is>
      </c>
      <c r="M5" t="inlineStr">
        <is>
          <t>Jan 2026</t>
        </is>
      </c>
      <c r="N5" t="inlineStr">
        <is>
          <t>Feb 2026</t>
        </is>
      </c>
      <c r="O5" t="inlineStr">
        <is>
          <t>Mar 2026</t>
        </is>
      </c>
      <c r="P5" t="inlineStr">
        <is>
          <t>Apr 2026</t>
        </is>
      </c>
      <c r="Q5" t="inlineStr">
        <is>
          <t>May 2026</t>
        </is>
      </c>
      <c r="R5" t="inlineStr">
        <is>
          <t>Jun 2026</t>
        </is>
      </c>
    </row>
    <row r="6">
      <c r="A6" t="inlineStr">
        <is>
          <t>Income</t>
        </is>
      </c>
    </row>
    <row r="7">
      <c r="B7" t="inlineStr">
        <is>
          <t>Subscription Revenue</t>
        </is>
      </c>
      <c r="C7" t="n">
        <v>110000</v>
      </c>
      <c r="D7" t="n">
        <v>111100</v>
      </c>
      <c r="E7" t="n">
        <v>112200</v>
      </c>
      <c r="F7" t="n">
        <v>113300</v>
      </c>
      <c r="G7" t="n">
        <v>114400</v>
      </c>
      <c r="H7" t="n">
        <v>115500</v>
      </c>
      <c r="I7" t="n">
        <v>116600</v>
      </c>
      <c r="J7" t="n">
        <v>117700</v>
      </c>
      <c r="K7" t="n">
        <v>118800</v>
      </c>
      <c r="L7" t="n">
        <v>119900</v>
      </c>
      <c r="M7" t="n">
        <v>121000</v>
      </c>
      <c r="N7" t="n">
        <v>122100</v>
      </c>
      <c r="O7" t="n">
        <v>123200</v>
      </c>
      <c r="P7" t="n">
        <v>124300</v>
      </c>
      <c r="Q7" t="n">
        <v>125400</v>
      </c>
      <c r="R7" t="n">
        <v>126500</v>
      </c>
    </row>
    <row r="8">
      <c r="B8" t="inlineStr">
        <is>
          <t>Services Revenue</t>
        </is>
      </c>
      <c r="C8" t="n">
        <v>21000</v>
      </c>
      <c r="D8" t="n">
        <v>21180</v>
      </c>
      <c r="E8" t="n">
        <v>21360</v>
      </c>
      <c r="F8" t="n">
        <v>21540</v>
      </c>
      <c r="G8" t="n">
        <v>21720</v>
      </c>
      <c r="H8" t="n">
        <v>21900</v>
      </c>
      <c r="I8" t="n">
        <v>22080</v>
      </c>
      <c r="K8" t="n">
        <v>22440</v>
      </c>
      <c r="L8" t="n">
        <v>22620</v>
      </c>
      <c r="M8" t="n">
        <v>22800</v>
      </c>
      <c r="N8" t="n">
        <v>22980</v>
      </c>
      <c r="O8" t="n">
        <v>23160</v>
      </c>
      <c r="P8" t="n">
        <v>23340</v>
      </c>
      <c r="Q8" t="n">
        <v>23520</v>
      </c>
      <c r="R8" t="n">
        <v>23700</v>
      </c>
    </row>
    <row r="9">
      <c r="A9" t="inlineStr">
        <is>
          <t>Total Income</t>
        </is>
      </c>
      <c r="C9">
        <f>SUM(C7:C8)</f>
        <v>131000</v>
      </c>
      <c r="D9">
        <f>SUM(D7:D8)</f>
        <v>132280</v>
      </c>
      <c r="E9">
        <f>SUM(E7:E8)</f>
        <v>133560</v>
      </c>
      <c r="F9">
        <f>SUM(F7:F8)</f>
        <v>134840</v>
      </c>
      <c r="G9">
        <f>SUM(G7:G8)</f>
        <v>136120</v>
      </c>
      <c r="H9">
        <f>SUM(H7:H8)</f>
        <v>137400</v>
      </c>
      <c r="I9">
        <f>SUM(I7:I8)</f>
        <v>138680</v>
      </c>
      <c r="J9">
        <f>SUM(J7:J8)</f>
        <v>117700</v>
      </c>
      <c r="K9">
        <f>SUM(K7:K8)</f>
        <v>141240</v>
      </c>
      <c r="L9">
        <f>SUM(L7:L8)</f>
        <v>142520</v>
      </c>
      <c r="M9">
        <f>SUM(M7:M8)</f>
        <v>143800</v>
      </c>
      <c r="N9">
        <f>SUM(N7:N8)</f>
        <v>145080</v>
      </c>
      <c r="O9">
        <f>SUM(O7:O8)</f>
        <v>146360</v>
      </c>
      <c r="P9">
        <f>SUM(P7:P8)</f>
        <v>147640</v>
      </c>
      <c r="Q9">
        <f>SUM(Q7:Q8)</f>
        <v>148920</v>
      </c>
      <c r="R9">
        <f>SUM(R7:R8)</f>
        <v>150200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8000</v>
      </c>
      <c r="D12" t="n">
        <v>8090</v>
      </c>
      <c r="E12" t="n">
        <v>8180</v>
      </c>
      <c r="F12" t="n">
        <v>8270</v>
      </c>
      <c r="G12" t="n">
        <v>8360</v>
      </c>
      <c r="H12" t="n">
        <v>8450</v>
      </c>
      <c r="I12" t="n">
        <v>8540</v>
      </c>
      <c r="J12" t="n">
        <v>8630</v>
      </c>
      <c r="K12" t="n">
        <v>8720</v>
      </c>
      <c r="L12" t="n">
        <v>8810</v>
      </c>
      <c r="M12" t="n">
        <v>8900</v>
      </c>
      <c r="N12" t="n">
        <v>8990</v>
      </c>
      <c r="O12" t="n">
        <v>9080</v>
      </c>
      <c r="P12" t="n">
        <v>9170</v>
      </c>
      <c r="Q12" t="n">
        <v>9260</v>
      </c>
      <c r="R12" t="n">
        <v>9350</v>
      </c>
    </row>
    <row r="13">
      <c r="A13" t="inlineStr">
        <is>
          <t>Total Cost of Goods Sold</t>
        </is>
      </c>
      <c r="C13">
        <f>SUM(C12:C12)</f>
        <v>8000</v>
      </c>
      <c r="D13">
        <f>SUM(D12:D12)</f>
        <v>8090</v>
      </c>
      <c r="E13">
        <f>SUM(E12:E12)</f>
        <v>8180</v>
      </c>
      <c r="F13">
        <f>SUM(F12:F12)</f>
        <v>8270</v>
      </c>
      <c r="G13">
        <f>SUM(G12:G12)</f>
        <v>8360</v>
      </c>
      <c r="H13">
        <f>SUM(H12:H12)</f>
        <v>8450</v>
      </c>
      <c r="I13">
        <f>SUM(I12:I12)</f>
        <v>8540</v>
      </c>
      <c r="J13">
        <f>SUM(J12:J12)</f>
        <v>8630</v>
      </c>
      <c r="K13">
        <f>SUM(K12:K12)</f>
        <v>8720</v>
      </c>
      <c r="L13">
        <f>SUM(L12:L12)</f>
        <v>8810</v>
      </c>
      <c r="M13">
        <f>SUM(M12:M12)</f>
        <v>8900</v>
      </c>
      <c r="N13">
        <f>SUM(N12:N12)</f>
        <v>8990</v>
      </c>
      <c r="O13">
        <f>SUM(O12:O12)</f>
        <v>9080</v>
      </c>
      <c r="P13">
        <f>SUM(P12:P12)</f>
        <v>9170</v>
      </c>
      <c r="Q13">
        <f>SUM(Q12:Q12)</f>
        <v>9260</v>
      </c>
      <c r="R13">
        <f>SUM(R12:R12)</f>
        <v>9350</v>
      </c>
    </row>
    <row r="15">
      <c r="B15" t="inlineStr">
        <is>
          <t>Gross Profit</t>
        </is>
      </c>
      <c r="C15">
        <f>(C9 - C13)</f>
        <v>123000</v>
      </c>
      <c r="D15">
        <f>(D9 - D13)</f>
        <v>124190</v>
      </c>
      <c r="E15">
        <f>(E9 - E13)</f>
        <v>125380</v>
      </c>
      <c r="F15">
        <f>(F9 - F13)</f>
        <v>126570</v>
      </c>
      <c r="G15">
        <f>(G9 - G13)</f>
        <v>127760</v>
      </c>
      <c r="H15">
        <f>(H9 - H13)</f>
        <v>128950</v>
      </c>
      <c r="I15">
        <f>(I9 - I13)</f>
        <v>130140</v>
      </c>
      <c r="J15">
        <f>(J9 - J13)</f>
        <v>109070</v>
      </c>
      <c r="K15">
        <f>(K9 - K13)</f>
        <v>132520</v>
      </c>
      <c r="L15">
        <f>(L9 - L13)</f>
        <v>133710</v>
      </c>
      <c r="M15">
        <f>(M9 - M13)</f>
        <v>134900</v>
      </c>
      <c r="N15">
        <f>(N9 - N13)</f>
        <v>136090</v>
      </c>
      <c r="O15">
        <f>(O9 - O13)</f>
        <v>137280</v>
      </c>
      <c r="P15">
        <f>(P9 - P13)</f>
        <v>138470</v>
      </c>
      <c r="Q15">
        <f>(Q9 - Q13)</f>
        <v>139660</v>
      </c>
      <c r="R15">
        <f>(R9 - R13)</f>
        <v>140850</v>
      </c>
    </row>
    <row r="17">
      <c r="A17" t="inlineStr">
        <is>
          <t>Operating Expenses</t>
        </is>
      </c>
    </row>
    <row r="18">
      <c r="B18" t="inlineStr">
        <is>
          <t>Rent</t>
        </is>
      </c>
      <c r="C18" t="n">
        <v>7000</v>
      </c>
      <c r="D18" t="n">
        <v>7000</v>
      </c>
      <c r="E18" t="n">
        <v>7000</v>
      </c>
      <c r="F18" t="n">
        <v>7000</v>
      </c>
      <c r="G18" t="n">
        <v>7000</v>
      </c>
      <c r="H18" t="n">
        <v>7000</v>
      </c>
      <c r="I18" t="n">
        <v>7000</v>
      </c>
      <c r="J18" t="n">
        <v>7000</v>
      </c>
      <c r="K18" t="n">
        <v>7000</v>
      </c>
      <c r="L18" t="n">
        <v>7000</v>
      </c>
      <c r="M18" t="n">
        <v>7000</v>
      </c>
      <c r="N18" t="n">
        <v>7000</v>
      </c>
      <c r="O18" t="n">
        <v>7000</v>
      </c>
      <c r="P18" t="n">
        <v>7000</v>
      </c>
      <c r="Q18" t="n">
        <v>7000</v>
      </c>
      <c r="R18" t="n">
        <v>7000</v>
      </c>
    </row>
    <row r="19">
      <c r="B19" t="inlineStr">
        <is>
          <t>Software &amp; SaaS</t>
        </is>
      </c>
      <c r="C19" t="n">
        <v>3900</v>
      </c>
      <c r="D19" t="n">
        <v>3900</v>
      </c>
      <c r="E19" t="n">
        <v>3900</v>
      </c>
      <c r="F19" t="n">
        <v>3900</v>
      </c>
      <c r="G19" t="n">
        <v>3900</v>
      </c>
      <c r="H19" t="n">
        <v>3900</v>
      </c>
      <c r="I19" t="n">
        <v>3900</v>
      </c>
      <c r="J19" t="n">
        <v>3900</v>
      </c>
      <c r="K19" t="n">
        <v>3900</v>
      </c>
      <c r="L19" t="n">
        <v>3900</v>
      </c>
      <c r="M19" t="n">
        <v>3900</v>
      </c>
      <c r="N19" t="n">
        <v>3900</v>
      </c>
      <c r="O19" t="n">
        <v>3900</v>
      </c>
      <c r="P19" t="n">
        <v>3900</v>
      </c>
      <c r="Q19" t="n">
        <v>3900</v>
      </c>
      <c r="R19" t="n">
        <v>3900</v>
      </c>
    </row>
    <row r="20">
      <c r="B20" t="inlineStr">
        <is>
          <t>Support Payroll</t>
        </is>
      </c>
    </row>
    <row r="21">
      <c r="B21" t="inlineStr">
        <is>
          <t>Support - Payroll</t>
        </is>
      </c>
      <c r="C21" t="n">
        <v>36000</v>
      </c>
      <c r="D21" t="n">
        <v>36000</v>
      </c>
      <c r="E21" t="n">
        <v>36000</v>
      </c>
      <c r="F21" t="n">
        <v>36000</v>
      </c>
      <c r="G21" t="n">
        <v>36000</v>
      </c>
      <c r="H21" t="n">
        <v>36000</v>
      </c>
      <c r="I21" t="n">
        <v>36000</v>
      </c>
      <c r="J21" t="n">
        <v>36000</v>
      </c>
      <c r="K21" t="n">
        <v>36000</v>
      </c>
      <c r="L21" t="n">
        <v>36000</v>
      </c>
      <c r="M21" t="n">
        <v>36000</v>
      </c>
      <c r="N21" t="n">
        <v>36000</v>
      </c>
      <c r="O21" t="n">
        <v>36000</v>
      </c>
      <c r="P21" t="n">
        <v>36000</v>
      </c>
      <c r="Q21" t="n">
        <v>36000</v>
      </c>
      <c r="R21" t="n">
        <v>36000</v>
      </c>
    </row>
    <row r="22">
      <c r="B22" t="inlineStr">
        <is>
          <t>Support - Payroll Taxes</t>
        </is>
      </c>
      <c r="C22" t="n">
        <v>2880</v>
      </c>
      <c r="D22" t="n">
        <v>2880</v>
      </c>
      <c r="E22" t="n">
        <v>2880</v>
      </c>
      <c r="F22" t="n">
        <v>2880</v>
      </c>
      <c r="G22" t="n">
        <v>2880</v>
      </c>
      <c r="H22" t="n">
        <v>2880</v>
      </c>
      <c r="I22" t="n">
        <v>2880</v>
      </c>
      <c r="J22" t="n">
        <v>2880</v>
      </c>
      <c r="K22" t="n">
        <v>2880</v>
      </c>
      <c r="L22" t="n">
        <v>2880</v>
      </c>
      <c r="M22" t="n">
        <v>2880</v>
      </c>
      <c r="N22" t="n">
        <v>2880</v>
      </c>
      <c r="O22" t="n">
        <v>2880</v>
      </c>
      <c r="P22" t="n">
        <v>2880</v>
      </c>
      <c r="Q22" t="n">
        <v>2880</v>
      </c>
      <c r="R22" t="n">
        <v>2880</v>
      </c>
    </row>
    <row r="23">
      <c r="B23" t="inlineStr">
        <is>
          <t>Total Support Payroll</t>
        </is>
      </c>
      <c r="C23">
        <f>SUM(C21:C22)</f>
        <v>38880.0</v>
      </c>
      <c r="D23">
        <f>SUM(D21:D22)</f>
        <v>38880.0</v>
      </c>
      <c r="E23">
        <f>SUM(E21:E22)</f>
        <v>38880.0</v>
      </c>
      <c r="F23">
        <f>SUM(F21:F22)</f>
        <v>38880.0</v>
      </c>
      <c r="G23">
        <f>SUM(G21:G22)</f>
        <v>38880.0</v>
      </c>
      <c r="H23">
        <f>SUM(H21:H22)</f>
        <v>38880.0</v>
      </c>
      <c r="I23">
        <f>SUM(I21:I22)</f>
        <v>38880.0</v>
      </c>
      <c r="J23">
        <f>SUM(J21:J22)</f>
        <v>38880.0</v>
      </c>
      <c r="K23">
        <f>SUM(K21:K22)</f>
        <v>38880.0</v>
      </c>
      <c r="L23">
        <f>SUM(L21:L22)</f>
        <v>38880.0</v>
      </c>
      <c r="M23">
        <f>SUM(M21:M22)</f>
        <v>38880.0</v>
      </c>
      <c r="N23">
        <f>SUM(N21:N22)</f>
        <v>38880.0</v>
      </c>
      <c r="O23">
        <f>SUM(O21:O22)</f>
        <v>38880.0</v>
      </c>
      <c r="P23">
        <f>SUM(P21:P22)</f>
        <v>38880.0</v>
      </c>
      <c r="Q23">
        <f>SUM(Q21:Q22)</f>
        <v>38880.0</v>
      </c>
      <c r="R23">
        <f>SUM(R21:R22)</f>
        <v>38880.0</v>
      </c>
    </row>
    <row r="24">
      <c r="A24" t="inlineStr">
        <is>
          <t>Total Operating Expenses</t>
        </is>
      </c>
      <c r="C24">
        <f>(SUM(C18:C19) + C23)</f>
        <v>49780.0</v>
      </c>
      <c r="D24">
        <f>(SUM(D18:D19) + D23)</f>
        <v>49780.0</v>
      </c>
      <c r="E24">
        <f>(SUM(E18:E19) + E23)</f>
        <v>49780.0</v>
      </c>
      <c r="F24">
        <f>(SUM(F18:F19) + F23)</f>
        <v>49780.0</v>
      </c>
      <c r="G24">
        <f>(SUM(G18:G19) + G23)</f>
        <v>49780.0</v>
      </c>
      <c r="H24">
        <f>(SUM(H18:H19) + H23)</f>
        <v>49780.0</v>
      </c>
      <c r="I24">
        <f>(SUM(I18:I19) + I23)</f>
        <v>49780.0</v>
      </c>
      <c r="J24">
        <f>(SUM(J18:J19) + J23)</f>
        <v>49780.0</v>
      </c>
      <c r="K24">
        <f>(SUM(K18:K19) + K23)</f>
        <v>49780.0</v>
      </c>
      <c r="L24">
        <f>(SUM(L18:L19) + L23)</f>
        <v>49780.0</v>
      </c>
      <c r="M24">
        <f>(SUM(M18:M19) + M23)</f>
        <v>49780.0</v>
      </c>
      <c r="N24">
        <f>(SUM(N18:N19) + N23)</f>
        <v>49780.0</v>
      </c>
      <c r="O24">
        <f>(SUM(O18:O19) + O23)</f>
        <v>49780.0</v>
      </c>
      <c r="P24">
        <f>(SUM(P18:P19) + P23)</f>
        <v>49780.0</v>
      </c>
      <c r="Q24">
        <f>(SUM(Q18:Q19) + Q23)</f>
        <v>49780.0</v>
      </c>
      <c r="R24">
        <f>(SUM(R18:R19) + R23)</f>
        <v>49780.0</v>
      </c>
    </row>
    <row r="26">
      <c r="B26" t="inlineStr">
        <is>
          <t>Operating Income</t>
        </is>
      </c>
      <c r="C26">
        <f>(C15 - C24)</f>
        <v>73220.0</v>
      </c>
      <c r="D26">
        <f>(D15 - D24)</f>
        <v>74410.0</v>
      </c>
      <c r="E26">
        <f>(E15 - E24)</f>
        <v>75600.0</v>
      </c>
      <c r="F26">
        <f>(F15 - F24)</f>
        <v>76790.0</v>
      </c>
      <c r="G26">
        <f>(G15 - G24)</f>
        <v>77980.0</v>
      </c>
      <c r="H26">
        <f>(H15 - H24)</f>
        <v>79170.0</v>
      </c>
      <c r="I26">
        <f>(I15 - I24)</f>
        <v>80360.0</v>
      </c>
      <c r="J26">
        <f>(J15 - J24)</f>
        <v>59290.0</v>
      </c>
      <c r="K26">
        <f>(K15 - K24)</f>
        <v>82740.0</v>
      </c>
      <c r="L26">
        <f>(L15 - L24)</f>
        <v>83930.0</v>
      </c>
      <c r="M26">
        <f>(M15 - M24)</f>
        <v>85120.0</v>
      </c>
      <c r="N26">
        <f>(N15 - N24)</f>
        <v>86310.0</v>
      </c>
      <c r="O26">
        <f>(O15 - O24)</f>
        <v>87500.0</v>
      </c>
      <c r="P26">
        <f>(P15 - P24)</f>
        <v>88690.0</v>
      </c>
      <c r="Q26">
        <f>(Q15 - Q24)</f>
        <v>89880.0</v>
      </c>
      <c r="R26">
        <f>(R15 - R24)</f>
        <v>91070.0</v>
      </c>
    </row>
    <row r="28">
      <c r="B28" t="inlineStr">
        <is>
          <t>Net Income</t>
        </is>
      </c>
      <c r="C28">
        <f>(C26 + 0)</f>
        <v>73220.0</v>
      </c>
      <c r="D28">
        <f>(D26 + 0)</f>
        <v>74410.0</v>
      </c>
      <c r="E28">
        <f>(E26 + 0)</f>
        <v>75600.0</v>
      </c>
      <c r="F28">
        <f>(F26 + 0)</f>
        <v>76790.0</v>
      </c>
      <c r="G28">
        <f>(G26 + 0)</f>
        <v>77980.0</v>
      </c>
      <c r="H28">
        <f>(H26 + 0)</f>
        <v>79170.0</v>
      </c>
      <c r="I28">
        <f>(I26 + 0)</f>
        <v>80360.0</v>
      </c>
      <c r="J28">
        <f>(J26 + 0)</f>
        <v>59290.0</v>
      </c>
      <c r="K28">
        <f>(K26 + 0)</f>
        <v>82740.0</v>
      </c>
      <c r="L28">
        <f>(L26 + 0)</f>
        <v>83930.0</v>
      </c>
      <c r="M28">
        <f>(M26 + 0)</f>
        <v>85120.0</v>
      </c>
      <c r="N28">
        <f>(N26 + 0)</f>
        <v>86310.0</v>
      </c>
      <c r="O28">
        <f>(O26 + 0)</f>
        <v>87500.0</v>
      </c>
      <c r="P28">
        <f>(P26 + 0)</f>
        <v>88690.0</v>
      </c>
      <c r="Q28">
        <f>(Q26 + 0)</f>
        <v>89880.0</v>
      </c>
      <c r="R28">
        <f>(R26 + 0)</f>
        <v>91070.0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2026-10-11T07:21:20Z</dcterms:created>
  <dcterms:modified xsi:type="dcterms:W3CDTF">2026-10-11T07:21:20Z</dcterms:modified>
</cp:coreProperties>
</file>