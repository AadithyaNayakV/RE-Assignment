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and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and Loss — SYNTHETIC TEST DATA</t>
        </is>
      </c>
    </row>
    <row r="2">
      <c r="A2" t="inlineStr">
        <is>
          <t>Company H (SYNTHETIC)</t>
        </is>
      </c>
    </row>
    <row r="3">
      <c r="A3" t="inlineStr">
        <is>
          <t>Scenario: zeros, negative lines and zero-base percentage changes; labels in C/D, data from F</t>
        </is>
      </c>
    </row>
    <row r="4">
      <c r="A4" t="inlineStr">
        <is>
          <t>For the month ended Jun 2026</t>
        </is>
      </c>
    </row>
    <row r="7">
      <c r="D7" t="inlineStr">
        <is>
          <t>Account</t>
        </is>
      </c>
      <c r="F7" t="inlineStr">
        <is>
          <t>Jun-26</t>
        </is>
      </c>
      <c r="G7" t="inlineStr">
        <is>
          <t>May-26</t>
        </is>
      </c>
      <c r="H7" t="inlineStr">
        <is>
          <t>Apr-26</t>
        </is>
      </c>
      <c r="I7" t="inlineStr">
        <is>
          <t>Mar-26</t>
        </is>
      </c>
      <c r="J7" t="inlineStr">
        <is>
          <t>Feb-26</t>
        </is>
      </c>
      <c r="K7" t="inlineStr">
        <is>
          <t>Jan-26</t>
        </is>
      </c>
      <c r="L7" t="inlineStr">
        <is>
          <t>Dec-25</t>
        </is>
      </c>
      <c r="M7" t="inlineStr">
        <is>
          <t>Nov-25</t>
        </is>
      </c>
      <c r="N7" t="inlineStr">
        <is>
          <t>Oct-25</t>
        </is>
      </c>
      <c r="O7" t="inlineStr">
        <is>
          <t>Sep-25</t>
        </is>
      </c>
      <c r="P7" t="inlineStr">
        <is>
          <t>Aug-25</t>
        </is>
      </c>
      <c r="Q7" t="inlineStr">
        <is>
          <t>Jul-25</t>
        </is>
      </c>
      <c r="R7" t="inlineStr">
        <is>
          <t>Jun-25</t>
        </is>
      </c>
      <c r="S7" t="inlineStr">
        <is>
          <t>May-25</t>
        </is>
      </c>
      <c r="T7" t="inlineStr">
        <is>
          <t>Apr-25</t>
        </is>
      </c>
      <c r="U7" t="inlineStr">
        <is>
          <t>Mar-25</t>
        </is>
      </c>
      <c r="V7" t="inlineStr">
        <is>
          <t>Feb-25</t>
        </is>
      </c>
      <c r="W7" t="inlineStr">
        <is>
          <t>Jan-25</t>
        </is>
      </c>
    </row>
    <row r="8">
      <c r="C8" t="inlineStr">
        <is>
          <t>Income</t>
        </is>
      </c>
    </row>
    <row r="9">
      <c r="D9" t="inlineStr">
        <is>
          <t>Core Revenue</t>
        </is>
      </c>
      <c r="F9" t="n">
        <v>106900</v>
      </c>
      <c r="G9" t="n">
        <v>106200</v>
      </c>
      <c r="H9" t="n">
        <v>105500</v>
      </c>
      <c r="I9" t="n">
        <v>104800</v>
      </c>
      <c r="J9" t="n">
        <v>104100</v>
      </c>
      <c r="K9" t="n">
        <v>103400</v>
      </c>
      <c r="L9" t="n">
        <v>102700</v>
      </c>
      <c r="M9" t="n">
        <v>102000</v>
      </c>
      <c r="N9" t="n">
        <v>101300</v>
      </c>
      <c r="O9" t="n">
        <v>100600</v>
      </c>
      <c r="P9" t="n">
        <v>99900</v>
      </c>
      <c r="Q9" t="n">
        <v>99200</v>
      </c>
      <c r="R9" t="n">
        <v>98500</v>
      </c>
      <c r="S9" t="n">
        <v>97800</v>
      </c>
      <c r="T9" t="n">
        <v>97100</v>
      </c>
      <c r="U9" t="n">
        <v>96400</v>
      </c>
      <c r="V9" t="n">
        <v>95700</v>
      </c>
      <c r="W9" t="n">
        <v>95000</v>
      </c>
    </row>
    <row r="10">
      <c r="D10" t="inlineStr">
        <is>
          <t>New Product Revenue</t>
        </is>
      </c>
      <c r="F10" t="n">
        <v>8600</v>
      </c>
      <c r="G10" t="n">
        <v>8150</v>
      </c>
      <c r="H10" t="n">
        <v>7700</v>
      </c>
      <c r="I10" t="n">
        <v>7250</v>
      </c>
      <c r="J10" t="n">
        <v>6800</v>
      </c>
      <c r="K10" t="n">
        <v>6350</v>
      </c>
      <c r="L10" t="n">
        <v>5900</v>
      </c>
      <c r="M10" t="n">
        <v>5450</v>
      </c>
      <c r="N10" t="n">
        <v>5000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D11" t="inlineStr">
        <is>
          <t>Legacy Revenue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4200</v>
      </c>
      <c r="P11" t="n">
        <v>4800</v>
      </c>
      <c r="Q11" t="n">
        <v>5400</v>
      </c>
      <c r="R11" t="n">
        <v>6000</v>
      </c>
      <c r="S11" t="n">
        <v>6600</v>
      </c>
      <c r="T11" t="n">
        <v>7200</v>
      </c>
      <c r="U11" t="n">
        <v>7800</v>
      </c>
      <c r="V11" t="n">
        <v>8400</v>
      </c>
      <c r="W11" t="n">
        <v>9000</v>
      </c>
    </row>
    <row r="12">
      <c r="D12" t="inlineStr">
        <is>
          <t>Refunds and Credits</t>
        </is>
      </c>
      <c r="F12" t="n">
        <v>-1450</v>
      </c>
      <c r="G12" t="n">
        <v>0</v>
      </c>
      <c r="H12" t="n">
        <v>0</v>
      </c>
      <c r="I12" t="n">
        <v>-2300</v>
      </c>
      <c r="J12" t="n">
        <v>0</v>
      </c>
      <c r="K12" t="n">
        <v>-760</v>
      </c>
      <c r="L12" t="n">
        <v>0</v>
      </c>
      <c r="M12" t="n">
        <v>0</v>
      </c>
      <c r="N12" t="n">
        <v>-5200</v>
      </c>
      <c r="O12" t="n">
        <v>0</v>
      </c>
      <c r="P12" t="n">
        <v>0</v>
      </c>
      <c r="Q12" t="n">
        <v>-890</v>
      </c>
      <c r="R12" t="n">
        <v>0</v>
      </c>
      <c r="S12" t="n">
        <v>0</v>
      </c>
      <c r="T12" t="n">
        <v>-3400</v>
      </c>
      <c r="U12" t="n">
        <v>0</v>
      </c>
      <c r="V12" t="n">
        <v>-1200</v>
      </c>
      <c r="W12" t="n">
        <v>0</v>
      </c>
    </row>
    <row r="13">
      <c r="C13" t="inlineStr">
        <is>
          <t>Total Income</t>
        </is>
      </c>
      <c r="F13">
        <f>SUM(F9:F12)</f>
        <v>114050.0</v>
      </c>
      <c r="G13">
        <f>SUM(G9:G12)</f>
        <v>114350.0</v>
      </c>
      <c r="H13">
        <f>SUM(H9:H12)</f>
        <v>113200.0</v>
      </c>
      <c r="I13">
        <f>SUM(I9:I12)</f>
        <v>109750.0</v>
      </c>
      <c r="J13">
        <f>SUM(J9:J12)</f>
        <v>110900.0</v>
      </c>
      <c r="K13">
        <f>SUM(K9:K12)</f>
        <v>108990.0</v>
      </c>
      <c r="L13">
        <f>SUM(L9:L12)</f>
        <v>108600.0</v>
      </c>
      <c r="M13">
        <f>SUM(M9:M12)</f>
        <v>107450.0</v>
      </c>
      <c r="N13">
        <f>SUM(N9:N12)</f>
        <v>101100.0</v>
      </c>
      <c r="O13">
        <f>SUM(O9:O12)</f>
        <v>104800.0</v>
      </c>
      <c r="P13">
        <f>SUM(P9:P12)</f>
        <v>104700.0</v>
      </c>
      <c r="Q13">
        <f>SUM(Q9:Q12)</f>
        <v>103710.0</v>
      </c>
      <c r="R13">
        <f>SUM(R9:R12)</f>
        <v>104500.0</v>
      </c>
      <c r="S13">
        <f>SUM(S9:S12)</f>
        <v>104400.0</v>
      </c>
      <c r="T13">
        <f>SUM(T9:T12)</f>
        <v>100900.0</v>
      </c>
      <c r="U13">
        <f>SUM(U9:U12)</f>
        <v>104200.0</v>
      </c>
      <c r="V13">
        <f>SUM(V9:V12)</f>
        <v>102900.0</v>
      </c>
      <c r="W13">
        <f>SUM(W9:W12)</f>
        <v>104000.0</v>
      </c>
    </row>
    <row r="15">
      <c r="C15" t="inlineStr">
        <is>
          <t>Cost of Goods Sold</t>
        </is>
      </c>
    </row>
    <row r="16">
      <c r="D16" t="inlineStr">
        <is>
          <t>Hosting</t>
        </is>
      </c>
      <c r="F16" t="n">
        <v>8220</v>
      </c>
      <c r="G16" t="n">
        <v>8160</v>
      </c>
      <c r="H16" t="n">
        <v>8100</v>
      </c>
      <c r="I16" t="n">
        <v>8040</v>
      </c>
      <c r="J16" t="n">
        <v>7980</v>
      </c>
      <c r="K16" t="n">
        <v>7920</v>
      </c>
      <c r="L16" t="n">
        <v>7860</v>
      </c>
      <c r="M16" t="n">
        <v>7800</v>
      </c>
      <c r="N16" t="n">
        <v>7740</v>
      </c>
      <c r="O16" t="n">
        <v>7680</v>
      </c>
      <c r="P16" t="n">
        <v>7620</v>
      </c>
      <c r="Q16" t="n">
        <v>7560</v>
      </c>
      <c r="R16" t="n">
        <v>7500</v>
      </c>
      <c r="S16" t="n">
        <v>7440</v>
      </c>
      <c r="T16" t="n">
        <v>7380</v>
      </c>
      <c r="U16" t="n">
        <v>7320</v>
      </c>
      <c r="V16" t="n">
        <v>7260</v>
      </c>
      <c r="W16" t="n">
        <v>7200</v>
      </c>
    </row>
    <row r="17">
      <c r="D17" t="inlineStr">
        <is>
          <t>Support Payroll</t>
        </is>
      </c>
      <c r="F17" t="n">
        <v>18000</v>
      </c>
      <c r="G17" t="n">
        <v>18000</v>
      </c>
      <c r="H17" t="n">
        <v>18000</v>
      </c>
      <c r="I17" t="n">
        <v>18000</v>
      </c>
      <c r="J17" t="n">
        <v>18000</v>
      </c>
      <c r="K17" t="n">
        <v>18000</v>
      </c>
      <c r="L17" t="n">
        <v>18000</v>
      </c>
      <c r="M17" t="n">
        <v>18000</v>
      </c>
      <c r="N17" t="n">
        <v>18000</v>
      </c>
      <c r="O17" t="n">
        <v>18000</v>
      </c>
      <c r="P17" t="n">
        <v>18000</v>
      </c>
      <c r="Q17" t="n">
        <v>18000</v>
      </c>
      <c r="R17" t="n">
        <v>18000</v>
      </c>
      <c r="S17" t="n">
        <v>18000</v>
      </c>
      <c r="T17" t="n">
        <v>18000</v>
      </c>
      <c r="U17" t="n">
        <v>18000</v>
      </c>
      <c r="V17" t="n">
        <v>18000</v>
      </c>
      <c r="W17" t="n">
        <v>18000</v>
      </c>
    </row>
    <row r="18">
      <c r="C18" t="inlineStr">
        <is>
          <t>Total Cost of Goods Sold</t>
        </is>
      </c>
      <c r="F18">
        <f>SUM(F16:F17)</f>
        <v>26220.0</v>
      </c>
      <c r="G18">
        <f>SUM(G16:G17)</f>
        <v>26160.0</v>
      </c>
      <c r="H18">
        <f>SUM(H16:H17)</f>
        <v>26100.0</v>
      </c>
      <c r="I18">
        <f>SUM(I16:I17)</f>
        <v>26040.0</v>
      </c>
      <c r="J18">
        <f>SUM(J16:J17)</f>
        <v>25980.0</v>
      </c>
      <c r="K18">
        <f>SUM(K16:K17)</f>
        <v>25920.0</v>
      </c>
      <c r="L18">
        <f>SUM(L16:L17)</f>
        <v>25860.0</v>
      </c>
      <c r="M18">
        <f>SUM(M16:M17)</f>
        <v>25800.0</v>
      </c>
      <c r="N18">
        <f>SUM(N16:N17)</f>
        <v>25740.0</v>
      </c>
      <c r="O18">
        <f>SUM(O16:O17)</f>
        <v>25680.0</v>
      </c>
      <c r="P18">
        <f>SUM(P16:P17)</f>
        <v>25620.0</v>
      </c>
      <c r="Q18">
        <f>SUM(Q16:Q17)</f>
        <v>25560.0</v>
      </c>
      <c r="R18">
        <f>SUM(R16:R17)</f>
        <v>25500.0</v>
      </c>
      <c r="S18">
        <f>SUM(S16:S17)</f>
        <v>25440.0</v>
      </c>
      <c r="T18">
        <f>SUM(T16:T17)</f>
        <v>25380.0</v>
      </c>
      <c r="U18">
        <f>SUM(U16:U17)</f>
        <v>25320.0</v>
      </c>
      <c r="V18">
        <f>SUM(V16:V17)</f>
        <v>25260.0</v>
      </c>
      <c r="W18">
        <f>SUM(W16:W17)</f>
        <v>25200.0</v>
      </c>
    </row>
    <row r="20">
      <c r="D20" t="inlineStr">
        <is>
          <t>Gross Profit</t>
        </is>
      </c>
      <c r="F20">
        <f>(F13 - F18)</f>
        <v>87830.0</v>
      </c>
      <c r="G20">
        <f>(G13 - G18)</f>
        <v>88190.0</v>
      </c>
      <c r="H20">
        <f>(H13 - H18)</f>
        <v>87100.0</v>
      </c>
      <c r="I20">
        <f>(I13 - I18)</f>
        <v>83710.0</v>
      </c>
      <c r="J20">
        <f>(J13 - J18)</f>
        <v>84920.0</v>
      </c>
      <c r="K20">
        <f>(K13 - K18)</f>
        <v>83070.0</v>
      </c>
      <c r="L20">
        <f>(L13 - L18)</f>
        <v>82740.0</v>
      </c>
      <c r="M20">
        <f>(M13 - M18)</f>
        <v>81650.0</v>
      </c>
      <c r="N20">
        <f>(N13 - N18)</f>
        <v>75360.0</v>
      </c>
      <c r="O20">
        <f>(O13 - O18)</f>
        <v>79120.0</v>
      </c>
      <c r="P20">
        <f>(P13 - P18)</f>
        <v>79080.0</v>
      </c>
      <c r="Q20">
        <f>(Q13 - Q18)</f>
        <v>78150.0</v>
      </c>
      <c r="R20">
        <f>(R13 - R18)</f>
        <v>79000.0</v>
      </c>
      <c r="S20">
        <f>(S13 - S18)</f>
        <v>78960.0</v>
      </c>
      <c r="T20">
        <f>(T13 - T18)</f>
        <v>75520.0</v>
      </c>
      <c r="U20">
        <f>(U13 - U18)</f>
        <v>78880.0</v>
      </c>
      <c r="V20">
        <f>(V13 - V18)</f>
        <v>77640.0</v>
      </c>
      <c r="W20">
        <f>(W13 - W18)</f>
        <v>78800.0</v>
      </c>
    </row>
    <row r="22">
      <c r="C22" t="inlineStr">
        <is>
          <t>Operating Expenses</t>
        </is>
      </c>
    </row>
    <row r="23">
      <c r="D23" t="inlineStr">
        <is>
          <t>Bad Debts</t>
        </is>
      </c>
      <c r="F23" t="n">
        <v>2200</v>
      </c>
      <c r="G23" t="n">
        <v>0</v>
      </c>
      <c r="H23" t="n">
        <v>-420</v>
      </c>
      <c r="I23" t="n">
        <v>0</v>
      </c>
      <c r="J23" t="n">
        <v>3100</v>
      </c>
      <c r="K23" t="n">
        <v>0</v>
      </c>
      <c r="L23" t="n">
        <v>-950</v>
      </c>
      <c r="M23" t="n">
        <v>1800</v>
      </c>
      <c r="N23" t="n">
        <v>0</v>
      </c>
      <c r="O23" t="n">
        <v>-310</v>
      </c>
      <c r="P23" t="n">
        <v>0</v>
      </c>
      <c r="Q23" t="n">
        <v>2600</v>
      </c>
      <c r="R23" t="n">
        <v>0</v>
      </c>
      <c r="S23" t="n">
        <v>-820</v>
      </c>
      <c r="T23" t="n">
        <v>4200</v>
      </c>
      <c r="U23" t="n">
        <v>0</v>
      </c>
      <c r="V23" t="n">
        <v>-1500</v>
      </c>
      <c r="W23" t="n">
        <v>1500</v>
      </c>
    </row>
    <row r="24">
      <c r="D24" t="inlineStr">
        <is>
          <t>Rent</t>
        </is>
      </c>
      <c r="F24" t="n">
        <v>5400</v>
      </c>
      <c r="G24" t="n">
        <v>5400</v>
      </c>
      <c r="H24" t="n">
        <v>5400</v>
      </c>
      <c r="I24" t="n">
        <v>5400</v>
      </c>
      <c r="J24" t="n">
        <v>5400</v>
      </c>
      <c r="K24" t="n">
        <v>5400</v>
      </c>
      <c r="L24" t="n">
        <v>5400</v>
      </c>
      <c r="M24" t="n">
        <v>5400</v>
      </c>
      <c r="N24" t="n">
        <v>5400</v>
      </c>
      <c r="O24" t="n">
        <v>5400</v>
      </c>
      <c r="P24" t="n">
        <v>5400</v>
      </c>
      <c r="Q24" t="n">
        <v>5400</v>
      </c>
      <c r="R24" t="n">
        <v>5400</v>
      </c>
      <c r="S24" t="n">
        <v>5400</v>
      </c>
      <c r="T24" t="n">
        <v>5400</v>
      </c>
      <c r="U24" t="n">
        <v>5400</v>
      </c>
      <c r="V24" t="n">
        <v>5400</v>
      </c>
      <c r="W24" t="n">
        <v>5400</v>
      </c>
    </row>
    <row r="25">
      <c r="D25" t="inlineStr">
        <is>
          <t>Marketing/Advertising</t>
        </is>
      </c>
      <c r="F25" t="n">
        <v>8600</v>
      </c>
      <c r="G25" t="n">
        <v>8150</v>
      </c>
      <c r="H25" t="n">
        <v>7700</v>
      </c>
      <c r="I25" t="n">
        <v>7250</v>
      </c>
      <c r="J25" t="n">
        <v>6800</v>
      </c>
      <c r="K25" t="n">
        <v>6350</v>
      </c>
      <c r="L25" t="n">
        <v>5900</v>
      </c>
      <c r="M25" t="n">
        <v>5450</v>
      </c>
      <c r="N25" t="n">
        <v>5000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D26" t="inlineStr">
        <is>
          <t>Interest Income</t>
        </is>
      </c>
      <c r="F26" t="n">
        <v>-650</v>
      </c>
      <c r="G26" t="n">
        <v>-650</v>
      </c>
      <c r="H26" t="n">
        <v>-650</v>
      </c>
      <c r="I26" t="n">
        <v>-650</v>
      </c>
      <c r="J26" t="n">
        <v>-650</v>
      </c>
      <c r="K26" t="n">
        <v>-650</v>
      </c>
      <c r="L26" t="n">
        <v>-650</v>
      </c>
      <c r="M26" t="n">
        <v>-650</v>
      </c>
      <c r="N26" t="n">
        <v>-650</v>
      </c>
      <c r="O26" t="n">
        <v>-650</v>
      </c>
      <c r="P26" t="n">
        <v>-650</v>
      </c>
      <c r="Q26" t="n">
        <v>-650</v>
      </c>
      <c r="R26" t="n">
        <v>-650</v>
      </c>
      <c r="S26" t="n">
        <v>-650</v>
      </c>
      <c r="T26" t="n">
        <v>-650</v>
      </c>
      <c r="U26" t="n">
        <v>-650</v>
      </c>
      <c r="V26" t="n">
        <v>-650</v>
      </c>
      <c r="W26" t="n">
        <v>-650</v>
      </c>
    </row>
    <row r="27">
      <c r="D27" t="inlineStr">
        <is>
          <t>Product Payroll</t>
        </is>
      </c>
    </row>
    <row r="28">
      <c r="D28" t="inlineStr">
        <is>
          <t>Product - Payroll</t>
        </is>
      </c>
      <c r="F28" t="n">
        <v>44000</v>
      </c>
      <c r="G28" t="n">
        <v>44000</v>
      </c>
      <c r="H28" t="n">
        <v>44000</v>
      </c>
      <c r="I28" t="n">
        <v>44000</v>
      </c>
      <c r="J28" t="n">
        <v>44000</v>
      </c>
      <c r="K28" t="n">
        <v>44000</v>
      </c>
      <c r="L28" t="n">
        <v>44000</v>
      </c>
      <c r="M28" t="n">
        <v>44000</v>
      </c>
      <c r="N28" t="n">
        <v>44000</v>
      </c>
      <c r="O28" t="n">
        <v>44000</v>
      </c>
      <c r="P28" t="n">
        <v>44000</v>
      </c>
      <c r="Q28" t="n">
        <v>44000</v>
      </c>
      <c r="R28" t="n">
        <v>44000</v>
      </c>
      <c r="S28" t="n">
        <v>44000</v>
      </c>
      <c r="T28" t="n">
        <v>44000</v>
      </c>
      <c r="U28" t="n">
        <v>44000</v>
      </c>
      <c r="V28" t="n">
        <v>44000</v>
      </c>
      <c r="W28" t="n">
        <v>44000</v>
      </c>
    </row>
    <row r="29">
      <c r="D29" t="inlineStr">
        <is>
          <t>Product - Payroll Taxes</t>
        </is>
      </c>
      <c r="F29" t="n">
        <v>3520</v>
      </c>
      <c r="G29" t="n">
        <v>3520</v>
      </c>
      <c r="H29" t="n">
        <v>3520</v>
      </c>
      <c r="I29" t="n">
        <v>3520</v>
      </c>
      <c r="J29" t="n">
        <v>3520</v>
      </c>
      <c r="K29" t="n">
        <v>3520</v>
      </c>
      <c r="L29" t="n">
        <v>3520</v>
      </c>
      <c r="M29" t="n">
        <v>3520</v>
      </c>
      <c r="N29" t="n">
        <v>3520</v>
      </c>
      <c r="O29" t="n">
        <v>3520</v>
      </c>
      <c r="P29" t="n">
        <v>3520</v>
      </c>
      <c r="Q29" t="n">
        <v>3520</v>
      </c>
      <c r="R29" t="n">
        <v>3520</v>
      </c>
      <c r="S29" t="n">
        <v>3520</v>
      </c>
      <c r="T29" t="n">
        <v>3520</v>
      </c>
      <c r="U29" t="n">
        <v>3520</v>
      </c>
      <c r="V29" t="n">
        <v>3520</v>
      </c>
      <c r="W29" t="n">
        <v>3520</v>
      </c>
    </row>
    <row r="30">
      <c r="D30" t="inlineStr">
        <is>
          <t>Total Product Payroll</t>
        </is>
      </c>
      <c r="F30">
        <f>SUM(F28:F29)</f>
        <v>47520.0</v>
      </c>
      <c r="G30">
        <f>SUM(G28:G29)</f>
        <v>47520.0</v>
      </c>
      <c r="H30">
        <f>SUM(H28:H29)</f>
        <v>47520.0</v>
      </c>
      <c r="I30">
        <f>SUM(I28:I29)</f>
        <v>47520.0</v>
      </c>
      <c r="J30">
        <f>SUM(J28:J29)</f>
        <v>47520.0</v>
      </c>
      <c r="K30">
        <f>SUM(K28:K29)</f>
        <v>47520.0</v>
      </c>
      <c r="L30">
        <f>SUM(L28:L29)</f>
        <v>47520.0</v>
      </c>
      <c r="M30">
        <f>SUM(M28:M29)</f>
        <v>47520.0</v>
      </c>
      <c r="N30">
        <f>SUM(N28:N29)</f>
        <v>47520.0</v>
      </c>
      <c r="O30">
        <f>SUM(O28:O29)</f>
        <v>47520.0</v>
      </c>
      <c r="P30">
        <f>SUM(P28:P29)</f>
        <v>47520.0</v>
      </c>
      <c r="Q30">
        <f>SUM(Q28:Q29)</f>
        <v>47520.0</v>
      </c>
      <c r="R30">
        <f>SUM(R28:R29)</f>
        <v>47520.0</v>
      </c>
      <c r="S30">
        <f>SUM(S28:S29)</f>
        <v>47520.0</v>
      </c>
      <c r="T30">
        <f>SUM(T28:T29)</f>
        <v>47520.0</v>
      </c>
      <c r="U30">
        <f>SUM(U28:U29)</f>
        <v>47520.0</v>
      </c>
      <c r="V30">
        <f>SUM(V28:V29)</f>
        <v>47520.0</v>
      </c>
      <c r="W30">
        <f>SUM(W28:W29)</f>
        <v>47520.0</v>
      </c>
    </row>
    <row r="31">
      <c r="C31" t="inlineStr">
        <is>
          <t>Total Operating Expenses</t>
        </is>
      </c>
      <c r="F31">
        <f>(SUM(F23:F26) + F30)</f>
        <v>63070.0</v>
      </c>
      <c r="G31">
        <f>(SUM(G23:G26) + G30)</f>
        <v>60420.0</v>
      </c>
      <c r="H31">
        <f>(SUM(H23:H26) + H30)</f>
        <v>59550.0</v>
      </c>
      <c r="I31">
        <f>(SUM(I23:I26) + I30)</f>
        <v>59520.0</v>
      </c>
      <c r="J31">
        <f>(SUM(J23:J26) + J30)</f>
        <v>62170.0</v>
      </c>
      <c r="K31">
        <f>(SUM(K23:K26) + K30)</f>
        <v>58620.0</v>
      </c>
      <c r="L31">
        <f>(SUM(L23:L26) + L30)</f>
        <v>57220.0</v>
      </c>
      <c r="M31">
        <f>(SUM(M23:M26) + M30)</f>
        <v>59520.0</v>
      </c>
      <c r="N31">
        <f>(SUM(N23:N26) + N30)</f>
        <v>57270.0</v>
      </c>
      <c r="O31">
        <f>(SUM(O23:O26) + O30)</f>
        <v>51960.0</v>
      </c>
      <c r="P31">
        <f>(SUM(P23:P26) + P30)</f>
        <v>52270.0</v>
      </c>
      <c r="Q31">
        <f>(SUM(Q23:Q26) + Q30)</f>
        <v>54870.0</v>
      </c>
      <c r="R31">
        <f>(SUM(R23:R26) + R30)</f>
        <v>52270.0</v>
      </c>
      <c r="S31">
        <f>(SUM(S23:S26) + S30)</f>
        <v>51450.0</v>
      </c>
      <c r="T31">
        <f>(SUM(T23:T26) + T30)</f>
        <v>56470.0</v>
      </c>
      <c r="U31">
        <f>(SUM(U23:U26) + U30)</f>
        <v>52270.0</v>
      </c>
      <c r="V31">
        <f>(SUM(V23:V26) + V30)</f>
        <v>50770.0</v>
      </c>
      <c r="W31">
        <f>(SUM(W23:W26) + W30)</f>
        <v>53770.0</v>
      </c>
    </row>
    <row r="33">
      <c r="D33" t="inlineStr">
        <is>
          <t>Operating Income</t>
        </is>
      </c>
      <c r="F33">
        <f>(F20 - F31)</f>
        <v>24760.0</v>
      </c>
      <c r="G33">
        <f>(G20 - G31)</f>
        <v>27770.0</v>
      </c>
      <c r="H33">
        <f>(H20 - H31)</f>
        <v>27550.0</v>
      </c>
      <c r="I33">
        <f>(I20 - I31)</f>
        <v>24190.0</v>
      </c>
      <c r="J33">
        <f>(J20 - J31)</f>
        <v>22750.0</v>
      </c>
      <c r="K33">
        <f>(K20 - K31)</f>
        <v>24450.0</v>
      </c>
      <c r="L33">
        <f>(L20 - L31)</f>
        <v>25520.0</v>
      </c>
      <c r="M33">
        <f>(M20 - M31)</f>
        <v>22130.0</v>
      </c>
      <c r="N33">
        <f>(N20 - N31)</f>
        <v>18090.0</v>
      </c>
      <c r="O33">
        <f>(O20 - O31)</f>
        <v>27160.0</v>
      </c>
      <c r="P33">
        <f>(P20 - P31)</f>
        <v>26810.0</v>
      </c>
      <c r="Q33">
        <f>(Q20 - Q31)</f>
        <v>23280.0</v>
      </c>
      <c r="R33">
        <f>(R20 - R31)</f>
        <v>26730.0</v>
      </c>
      <c r="S33">
        <f>(S20 - S31)</f>
        <v>27510.0</v>
      </c>
      <c r="T33">
        <f>(T20 - T31)</f>
        <v>19050.0</v>
      </c>
      <c r="U33">
        <f>(U20 - U31)</f>
        <v>26610.0</v>
      </c>
      <c r="V33">
        <f>(V20 - V31)</f>
        <v>26870.0</v>
      </c>
      <c r="W33">
        <f>(W20 - W31)</f>
        <v>25030.0</v>
      </c>
    </row>
    <row r="35">
      <c r="D35" t="inlineStr">
        <is>
          <t>Net Income</t>
        </is>
      </c>
      <c r="F35">
        <f>(F33 + 0)</f>
        <v>24760.0</v>
      </c>
      <c r="G35">
        <f>(G33 + 0)</f>
        <v>27770.0</v>
      </c>
      <c r="H35">
        <f>(H33 + 0)</f>
        <v>27550.0</v>
      </c>
      <c r="I35">
        <f>(I33 + 0)</f>
        <v>24190.0</v>
      </c>
      <c r="J35">
        <f>(J33 + 0)</f>
        <v>22750.0</v>
      </c>
      <c r="K35">
        <f>(K33 + 0)</f>
        <v>24450.0</v>
      </c>
      <c r="L35">
        <f>(L33 + 0)</f>
        <v>25520.0</v>
      </c>
      <c r="M35">
        <f>(M33 + 0)</f>
        <v>22130.0</v>
      </c>
      <c r="N35">
        <f>(N33 + 0)</f>
        <v>18090.0</v>
      </c>
      <c r="O35">
        <f>(O33 + 0)</f>
        <v>27160.0</v>
      </c>
      <c r="P35">
        <f>(P33 + 0)</f>
        <v>26810.0</v>
      </c>
      <c r="Q35">
        <f>(Q33 + 0)</f>
        <v>23280.0</v>
      </c>
      <c r="R35">
        <f>(R33 + 0)</f>
        <v>26730.0</v>
      </c>
      <c r="S35">
        <f>(S33 + 0)</f>
        <v>27510.0</v>
      </c>
      <c r="T35">
        <f>(T33 + 0)</f>
        <v>19050.0</v>
      </c>
      <c r="U35">
        <f>(U33 + 0)</f>
        <v>26610.0</v>
      </c>
      <c r="V35">
        <f>(V33 + 0)</f>
        <v>26870.0</v>
      </c>
      <c r="W35">
        <f>(W33 + 0)</f>
        <v>25030.0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2026-10-11T07:21:21Z</dcterms:created>
  <dcterms:modified xsi:type="dcterms:W3CDTF">2026-10-11T07:21:21Z</dcterms:modified>
</cp:coreProperties>
</file>