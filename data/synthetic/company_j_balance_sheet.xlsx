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J (SYNTHETIC)</t>
        </is>
      </c>
    </row>
    <row r="3">
      <c r="A3" t="inlineStr">
        <is>
          <t>Scenario: income statement plus a balance sheet that balances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Subscription Revenue</t>
        </is>
      </c>
      <c r="C7" t="n">
        <v>188800</v>
      </c>
      <c r="D7" t="n">
        <v>187400</v>
      </c>
      <c r="E7" t="n">
        <v>186000</v>
      </c>
      <c r="F7" t="n">
        <v>184600</v>
      </c>
      <c r="G7" t="n">
        <v>183200</v>
      </c>
      <c r="H7" t="n">
        <v>181800</v>
      </c>
      <c r="I7" t="n">
        <v>180400</v>
      </c>
      <c r="J7" t="n">
        <v>179000</v>
      </c>
      <c r="K7" t="n">
        <v>177600</v>
      </c>
      <c r="L7" t="n">
        <v>176200</v>
      </c>
      <c r="M7" t="n">
        <v>174800</v>
      </c>
      <c r="N7" t="n">
        <v>173400</v>
      </c>
      <c r="O7" t="n">
        <v>172000</v>
      </c>
      <c r="P7" t="n">
        <v>170600</v>
      </c>
      <c r="Q7" t="n">
        <v>169200</v>
      </c>
      <c r="R7" t="n">
        <v>167800</v>
      </c>
      <c r="S7" t="n">
        <v>166400</v>
      </c>
      <c r="T7" t="n">
        <v>165000</v>
      </c>
    </row>
    <row r="8">
      <c r="B8" t="inlineStr">
        <is>
          <t>Services Revenue</t>
        </is>
      </c>
      <c r="C8" t="n">
        <v>36420</v>
      </c>
      <c r="D8" t="n">
        <v>36160</v>
      </c>
      <c r="E8" t="n">
        <v>35900</v>
      </c>
      <c r="F8" t="n">
        <v>35640</v>
      </c>
      <c r="G8" t="n">
        <v>35380</v>
      </c>
      <c r="H8" t="n">
        <v>35120</v>
      </c>
      <c r="I8" t="n">
        <v>34860</v>
      </c>
      <c r="J8" t="n">
        <v>34600</v>
      </c>
      <c r="K8" t="n">
        <v>34340</v>
      </c>
      <c r="L8" t="n">
        <v>34080</v>
      </c>
      <c r="M8" t="n">
        <v>33820</v>
      </c>
      <c r="N8" t="n">
        <v>33560</v>
      </c>
      <c r="O8" t="n">
        <v>33300</v>
      </c>
      <c r="P8" t="n">
        <v>33040</v>
      </c>
      <c r="Q8" t="n">
        <v>32780</v>
      </c>
      <c r="R8" t="n">
        <v>32520</v>
      </c>
      <c r="S8" t="n">
        <v>32260</v>
      </c>
      <c r="T8" t="n">
        <v>32000</v>
      </c>
    </row>
    <row r="9">
      <c r="A9" t="inlineStr">
        <is>
          <t>Total Income</t>
        </is>
      </c>
      <c r="C9">
        <f>SUM(C7:C8)</f>
        <v>225220</v>
      </c>
      <c r="D9">
        <f>SUM(D7:D8)</f>
        <v>223560</v>
      </c>
      <c r="E9">
        <f>SUM(E7:E8)</f>
        <v>221900</v>
      </c>
      <c r="F9">
        <f>SUM(F7:F8)</f>
        <v>220240</v>
      </c>
      <c r="G9">
        <f>SUM(G7:G8)</f>
        <v>218580</v>
      </c>
      <c r="H9">
        <f>SUM(H7:H8)</f>
        <v>216920</v>
      </c>
      <c r="I9">
        <f>SUM(I7:I8)</f>
        <v>215260</v>
      </c>
      <c r="J9">
        <f>SUM(J7:J8)</f>
        <v>213600</v>
      </c>
      <c r="K9">
        <f>SUM(K7:K8)</f>
        <v>211940</v>
      </c>
      <c r="L9">
        <f>SUM(L7:L8)</f>
        <v>210280</v>
      </c>
      <c r="M9">
        <f>SUM(M7:M8)</f>
        <v>208620</v>
      </c>
      <c r="N9">
        <f>SUM(N7:N8)</f>
        <v>206960</v>
      </c>
      <c r="O9">
        <f>SUM(O7:O8)</f>
        <v>205300</v>
      </c>
      <c r="P9">
        <f>SUM(P7:P8)</f>
        <v>203640</v>
      </c>
      <c r="Q9">
        <f>SUM(Q7:Q8)</f>
        <v>201980</v>
      </c>
      <c r="R9">
        <f>SUM(R7:R8)</f>
        <v>200320</v>
      </c>
      <c r="S9">
        <f>SUM(S7:S8)</f>
        <v>198660</v>
      </c>
      <c r="T9">
        <f>SUM(T7:T8)</f>
        <v>197000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15380</v>
      </c>
      <c r="D12" t="n">
        <v>15240</v>
      </c>
      <c r="E12" t="n">
        <v>15100</v>
      </c>
      <c r="F12" t="n">
        <v>14960</v>
      </c>
      <c r="G12" t="n">
        <v>14820</v>
      </c>
      <c r="H12" t="n">
        <v>14680</v>
      </c>
      <c r="I12" t="n">
        <v>14540</v>
      </c>
      <c r="J12" t="n">
        <v>14400</v>
      </c>
      <c r="K12" t="n">
        <v>14260</v>
      </c>
      <c r="L12" t="n">
        <v>14120</v>
      </c>
      <c r="M12" t="n">
        <v>13980</v>
      </c>
      <c r="N12" t="n">
        <v>13840</v>
      </c>
      <c r="O12" t="n">
        <v>13700</v>
      </c>
      <c r="P12" t="n">
        <v>13560</v>
      </c>
      <c r="Q12" t="n">
        <v>13420</v>
      </c>
      <c r="R12" t="n">
        <v>13280</v>
      </c>
      <c r="S12" t="n">
        <v>13140</v>
      </c>
      <c r="T12" t="n">
        <v>13000</v>
      </c>
    </row>
    <row r="13">
      <c r="B13" t="inlineStr">
        <is>
          <t>Support Payroll</t>
        </is>
      </c>
      <c r="C13" t="n">
        <v>28000</v>
      </c>
      <c r="D13" t="n">
        <v>28000</v>
      </c>
      <c r="E13" t="n">
        <v>28000</v>
      </c>
      <c r="F13" t="n">
        <v>28000</v>
      </c>
      <c r="G13" t="n">
        <v>28000</v>
      </c>
      <c r="H13" t="n">
        <v>28000</v>
      </c>
      <c r="I13" t="n">
        <v>28000</v>
      </c>
      <c r="J13" t="n">
        <v>28000</v>
      </c>
      <c r="K13" t="n">
        <v>28000</v>
      </c>
      <c r="L13" t="n">
        <v>28000</v>
      </c>
      <c r="M13" t="n">
        <v>28000</v>
      </c>
      <c r="N13" t="n">
        <v>28000</v>
      </c>
      <c r="O13" t="n">
        <v>28000</v>
      </c>
      <c r="P13" t="n">
        <v>28000</v>
      </c>
      <c r="Q13" t="n">
        <v>28000</v>
      </c>
      <c r="R13" t="n">
        <v>28000</v>
      </c>
      <c r="S13" t="n">
        <v>28000</v>
      </c>
      <c r="T13" t="n">
        <v>28000</v>
      </c>
    </row>
    <row r="14">
      <c r="A14" t="inlineStr">
        <is>
          <t>Total Cost of Goods Sold</t>
        </is>
      </c>
      <c r="C14">
        <f>SUM(C12:C13)</f>
        <v>43380.0</v>
      </c>
      <c r="D14">
        <f>SUM(D12:D13)</f>
        <v>43240.0</v>
      </c>
      <c r="E14">
        <f>SUM(E12:E13)</f>
        <v>43100.0</v>
      </c>
      <c r="F14">
        <f>SUM(F12:F13)</f>
        <v>42960.0</v>
      </c>
      <c r="G14">
        <f>SUM(G12:G13)</f>
        <v>42820.0</v>
      </c>
      <c r="H14">
        <f>SUM(H12:H13)</f>
        <v>42680.0</v>
      </c>
      <c r="I14">
        <f>SUM(I12:I13)</f>
        <v>42540.0</v>
      </c>
      <c r="J14">
        <f>SUM(J12:J13)</f>
        <v>42400.0</v>
      </c>
      <c r="K14">
        <f>SUM(K12:K13)</f>
        <v>42260.0</v>
      </c>
      <c r="L14">
        <f>SUM(L12:L13)</f>
        <v>42120.0</v>
      </c>
      <c r="M14">
        <f>SUM(M12:M13)</f>
        <v>41980.0</v>
      </c>
      <c r="N14">
        <f>SUM(N12:N13)</f>
        <v>41840.0</v>
      </c>
      <c r="O14">
        <f>SUM(O12:O13)</f>
        <v>41700.0</v>
      </c>
      <c r="P14">
        <f>SUM(P12:P13)</f>
        <v>41560.0</v>
      </c>
      <c r="Q14">
        <f>SUM(Q12:Q13)</f>
        <v>41420.0</v>
      </c>
      <c r="R14">
        <f>SUM(R12:R13)</f>
        <v>41280.0</v>
      </c>
      <c r="S14">
        <f>SUM(S12:S13)</f>
        <v>41140.0</v>
      </c>
      <c r="T14">
        <f>SUM(T12:T13)</f>
        <v>41000.0</v>
      </c>
    </row>
    <row r="16">
      <c r="B16" t="inlineStr">
        <is>
          <t>Gross Profit</t>
        </is>
      </c>
      <c r="C16">
        <f>(C9 - C14)</f>
        <v>181840.0</v>
      </c>
      <c r="D16">
        <f>(D9 - D14)</f>
        <v>180320.0</v>
      </c>
      <c r="E16">
        <f>(E9 - E14)</f>
        <v>178800.0</v>
      </c>
      <c r="F16">
        <f>(F9 - F14)</f>
        <v>177280.0</v>
      </c>
      <c r="G16">
        <f>(G9 - G14)</f>
        <v>175760.0</v>
      </c>
      <c r="H16">
        <f>(H9 - H14)</f>
        <v>174240.0</v>
      </c>
      <c r="I16">
        <f>(I9 - I14)</f>
        <v>172720.0</v>
      </c>
      <c r="J16">
        <f>(J9 - J14)</f>
        <v>171200.0</v>
      </c>
      <c r="K16">
        <f>(K9 - K14)</f>
        <v>169680.0</v>
      </c>
      <c r="L16">
        <f>(L9 - L14)</f>
        <v>168160.0</v>
      </c>
      <c r="M16">
        <f>(M9 - M14)</f>
        <v>166640.0</v>
      </c>
      <c r="N16">
        <f>(N9 - N14)</f>
        <v>165120.0</v>
      </c>
      <c r="O16">
        <f>(O9 - O14)</f>
        <v>163600.0</v>
      </c>
      <c r="P16">
        <f>(P9 - P14)</f>
        <v>162080.0</v>
      </c>
      <c r="Q16">
        <f>(Q9 - Q14)</f>
        <v>160560.0</v>
      </c>
      <c r="R16">
        <f>(R9 - R14)</f>
        <v>159040.0</v>
      </c>
      <c r="S16">
        <f>(S9 - S14)</f>
        <v>157520.0</v>
      </c>
      <c r="T16">
        <f>(T9 - T14)</f>
        <v>156000.0</v>
      </c>
    </row>
    <row r="18">
      <c r="A18" t="inlineStr">
        <is>
          <t>Operating Expenses</t>
        </is>
      </c>
    </row>
    <row r="19">
      <c r="B19" t="inlineStr">
        <is>
          <t>Rent</t>
        </is>
      </c>
      <c r="C19" t="n">
        <v>10500</v>
      </c>
      <c r="D19" t="n">
        <v>10500</v>
      </c>
      <c r="E19" t="n">
        <v>10500</v>
      </c>
      <c r="F19" t="n">
        <v>10500</v>
      </c>
      <c r="G19" t="n">
        <v>10500</v>
      </c>
      <c r="H19" t="n">
        <v>10500</v>
      </c>
      <c r="I19" t="n">
        <v>10500</v>
      </c>
      <c r="J19" t="n">
        <v>10500</v>
      </c>
      <c r="K19" t="n">
        <v>10500</v>
      </c>
      <c r="L19" t="n">
        <v>10500</v>
      </c>
      <c r="M19" t="n">
        <v>10500</v>
      </c>
      <c r="N19" t="n">
        <v>10500</v>
      </c>
      <c r="O19" t="n">
        <v>10500</v>
      </c>
      <c r="P19" t="n">
        <v>10500</v>
      </c>
      <c r="Q19" t="n">
        <v>10500</v>
      </c>
      <c r="R19" t="n">
        <v>10500</v>
      </c>
      <c r="S19" t="n">
        <v>10500</v>
      </c>
      <c r="T19" t="n">
        <v>10500</v>
      </c>
    </row>
    <row r="20">
      <c r="B20" t="inlineStr">
        <is>
          <t>Software &amp; SaaS</t>
        </is>
      </c>
      <c r="C20" t="n">
        <v>8715</v>
      </c>
      <c r="D20" t="n">
        <v>8620</v>
      </c>
      <c r="E20" t="n">
        <v>8525</v>
      </c>
      <c r="F20" t="n">
        <v>8430</v>
      </c>
      <c r="G20" t="n">
        <v>8335</v>
      </c>
      <c r="H20" t="n">
        <v>8240</v>
      </c>
      <c r="I20" t="n">
        <v>8145</v>
      </c>
      <c r="J20" t="n">
        <v>8050</v>
      </c>
      <c r="K20" t="n">
        <v>7955</v>
      </c>
      <c r="L20" t="n">
        <v>7860</v>
      </c>
      <c r="M20" t="n">
        <v>7765</v>
      </c>
      <c r="N20" t="n">
        <v>7670</v>
      </c>
      <c r="O20" t="n">
        <v>7575</v>
      </c>
      <c r="P20" t="n">
        <v>7480</v>
      </c>
      <c r="Q20" t="n">
        <v>7385</v>
      </c>
      <c r="R20" t="n">
        <v>7290</v>
      </c>
      <c r="S20" t="n">
        <v>7195</v>
      </c>
      <c r="T20" t="n">
        <v>7100</v>
      </c>
    </row>
    <row r="21">
      <c r="B21" t="inlineStr">
        <is>
          <t>Accounting &amp; Tax</t>
        </is>
      </c>
      <c r="C21" t="n">
        <v>4300</v>
      </c>
      <c r="D21" t="n">
        <v>4300</v>
      </c>
      <c r="E21" t="n">
        <v>4300</v>
      </c>
      <c r="F21" t="n">
        <v>4300</v>
      </c>
      <c r="G21" t="n">
        <v>4300</v>
      </c>
      <c r="H21" t="n">
        <v>4300</v>
      </c>
      <c r="I21" t="n">
        <v>4300</v>
      </c>
      <c r="J21" t="n">
        <v>4300</v>
      </c>
      <c r="K21" t="n">
        <v>4300</v>
      </c>
      <c r="L21" t="n">
        <v>4300</v>
      </c>
      <c r="M21" t="n">
        <v>4300</v>
      </c>
      <c r="N21" t="n">
        <v>4300</v>
      </c>
      <c r="O21" t="n">
        <v>4300</v>
      </c>
      <c r="P21" t="n">
        <v>4300</v>
      </c>
      <c r="Q21" t="n">
        <v>4300</v>
      </c>
      <c r="R21" t="n">
        <v>4300</v>
      </c>
      <c r="S21" t="n">
        <v>4300</v>
      </c>
      <c r="T21" t="n">
        <v>4300</v>
      </c>
    </row>
    <row r="22">
      <c r="B22" t="inlineStr">
        <is>
          <t>Insurance</t>
        </is>
      </c>
      <c r="C22" t="n">
        <v>2900</v>
      </c>
      <c r="D22" t="n">
        <v>2900</v>
      </c>
      <c r="E22" t="n">
        <v>2900</v>
      </c>
      <c r="F22" t="n">
        <v>2900</v>
      </c>
      <c r="G22" t="n">
        <v>2900</v>
      </c>
      <c r="H22" t="n">
        <v>2900</v>
      </c>
      <c r="I22" t="n">
        <v>2900</v>
      </c>
      <c r="J22" t="n">
        <v>2900</v>
      </c>
      <c r="K22" t="n">
        <v>2900</v>
      </c>
      <c r="L22" t="n">
        <v>2900</v>
      </c>
      <c r="M22" t="n">
        <v>2900</v>
      </c>
      <c r="N22" t="n">
        <v>2900</v>
      </c>
      <c r="O22" t="n">
        <v>2900</v>
      </c>
      <c r="P22" t="n">
        <v>2900</v>
      </c>
      <c r="Q22" t="n">
        <v>2900</v>
      </c>
      <c r="R22" t="n">
        <v>2900</v>
      </c>
      <c r="S22" t="n">
        <v>2900</v>
      </c>
      <c r="T22" t="n">
        <v>2900</v>
      </c>
    </row>
    <row r="23">
      <c r="B23" t="inlineStr">
        <is>
          <t>Engineering Payroll</t>
        </is>
      </c>
    </row>
    <row r="24">
      <c r="B24" t="inlineStr">
        <is>
          <t>Engineering - Payroll</t>
        </is>
      </c>
      <c r="C24" t="n">
        <v>90500</v>
      </c>
      <c r="D24" t="n">
        <v>90000</v>
      </c>
      <c r="E24" t="n">
        <v>89500</v>
      </c>
      <c r="F24" t="n">
        <v>89000</v>
      </c>
      <c r="G24" t="n">
        <v>88500</v>
      </c>
      <c r="H24" t="n">
        <v>88000</v>
      </c>
      <c r="I24" t="n">
        <v>87500</v>
      </c>
      <c r="J24" t="n">
        <v>87000</v>
      </c>
      <c r="K24" t="n">
        <v>86500</v>
      </c>
      <c r="L24" t="n">
        <v>86000</v>
      </c>
      <c r="M24" t="n">
        <v>85500</v>
      </c>
      <c r="N24" t="n">
        <v>85000</v>
      </c>
      <c r="O24" t="n">
        <v>84500</v>
      </c>
      <c r="P24" t="n">
        <v>84000</v>
      </c>
      <c r="Q24" t="n">
        <v>83500</v>
      </c>
      <c r="R24" t="n">
        <v>83000</v>
      </c>
      <c r="S24" t="n">
        <v>82500</v>
      </c>
      <c r="T24" t="n">
        <v>82000</v>
      </c>
    </row>
    <row r="25">
      <c r="B25" t="inlineStr">
        <is>
          <t>Engineering - Payroll Taxes</t>
        </is>
      </c>
      <c r="C25" t="n">
        <v>7240</v>
      </c>
      <c r="D25" t="n">
        <v>7200</v>
      </c>
      <c r="E25" t="n">
        <v>7160</v>
      </c>
      <c r="F25" t="n">
        <v>7120</v>
      </c>
      <c r="G25" t="n">
        <v>7080</v>
      </c>
      <c r="H25" t="n">
        <v>7040</v>
      </c>
      <c r="I25" t="n">
        <v>7000</v>
      </c>
      <c r="J25" t="n">
        <v>6960</v>
      </c>
      <c r="K25" t="n">
        <v>6920</v>
      </c>
      <c r="L25" t="n">
        <v>6880</v>
      </c>
      <c r="M25" t="n">
        <v>6840</v>
      </c>
      <c r="N25" t="n">
        <v>6800</v>
      </c>
      <c r="O25" t="n">
        <v>6760</v>
      </c>
      <c r="P25" t="n">
        <v>6720</v>
      </c>
      <c r="Q25" t="n">
        <v>6680</v>
      </c>
      <c r="R25" t="n">
        <v>6640</v>
      </c>
      <c r="S25" t="n">
        <v>6600</v>
      </c>
      <c r="T25" t="n">
        <v>6560</v>
      </c>
    </row>
    <row r="26">
      <c r="B26" t="inlineStr">
        <is>
          <t>Total Engineering Payroll</t>
        </is>
      </c>
      <c r="C26">
        <f>SUM(C24:C25)</f>
        <v>97740</v>
      </c>
      <c r="D26">
        <f>SUM(D24:D25)</f>
        <v>97200</v>
      </c>
      <c r="E26">
        <f>SUM(E24:E25)</f>
        <v>96660</v>
      </c>
      <c r="F26">
        <f>SUM(F24:F25)</f>
        <v>96120</v>
      </c>
      <c r="G26">
        <f>SUM(G24:G25)</f>
        <v>95580</v>
      </c>
      <c r="H26">
        <f>SUM(H24:H25)</f>
        <v>95040</v>
      </c>
      <c r="I26">
        <f>SUM(I24:I25)</f>
        <v>94500</v>
      </c>
      <c r="J26">
        <f>SUM(J24:J25)</f>
        <v>93960</v>
      </c>
      <c r="K26">
        <f>SUM(K24:K25)</f>
        <v>93420</v>
      </c>
      <c r="L26">
        <f>SUM(L24:L25)</f>
        <v>92880</v>
      </c>
      <c r="M26">
        <f>SUM(M24:M25)</f>
        <v>92340</v>
      </c>
      <c r="N26">
        <f>SUM(N24:N25)</f>
        <v>91800</v>
      </c>
      <c r="O26">
        <f>SUM(O24:O25)</f>
        <v>91260</v>
      </c>
      <c r="P26">
        <f>SUM(P24:P25)</f>
        <v>90720</v>
      </c>
      <c r="Q26">
        <f>SUM(Q24:Q25)</f>
        <v>90180</v>
      </c>
      <c r="R26">
        <f>SUM(R24:R25)</f>
        <v>89640</v>
      </c>
      <c r="S26">
        <f>SUM(S24:S25)</f>
        <v>89100</v>
      </c>
      <c r="T26">
        <f>SUM(T24:T25)</f>
        <v>88560</v>
      </c>
    </row>
    <row r="27">
      <c r="A27" t="inlineStr">
        <is>
          <t>Total Operating Expenses</t>
        </is>
      </c>
      <c r="C27">
        <f>(SUM(C19:C22) + C26)</f>
        <v>124155.0</v>
      </c>
      <c r="D27">
        <f>(SUM(D19:D22) + D26)</f>
        <v>123520.0</v>
      </c>
      <c r="E27">
        <f>(SUM(E19:E22) + E26)</f>
        <v>122885.0</v>
      </c>
      <c r="F27">
        <f>(SUM(F19:F22) + F26)</f>
        <v>122250.0</v>
      </c>
      <c r="G27">
        <f>(SUM(G19:G22) + G26)</f>
        <v>121615.0</v>
      </c>
      <c r="H27">
        <f>(SUM(H19:H22) + H26)</f>
        <v>120980.0</v>
      </c>
      <c r="I27">
        <f>(SUM(I19:I22) + I26)</f>
        <v>120345.0</v>
      </c>
      <c r="J27">
        <f>(SUM(J19:J22) + J26)</f>
        <v>119710.0</v>
      </c>
      <c r="K27">
        <f>(SUM(K19:K22) + K26)</f>
        <v>119075.0</v>
      </c>
      <c r="L27">
        <f>(SUM(L19:L22) + L26)</f>
        <v>118440.0</v>
      </c>
      <c r="M27">
        <f>(SUM(M19:M22) + M26)</f>
        <v>117805.0</v>
      </c>
      <c r="N27">
        <f>(SUM(N19:N22) + N26)</f>
        <v>117170.0</v>
      </c>
      <c r="O27">
        <f>(SUM(O19:O22) + O26)</f>
        <v>116535.0</v>
      </c>
      <c r="P27">
        <f>(SUM(P19:P22) + P26)</f>
        <v>115900.0</v>
      </c>
      <c r="Q27">
        <f>(SUM(Q19:Q22) + Q26)</f>
        <v>115265.0</v>
      </c>
      <c r="R27">
        <f>(SUM(R19:R22) + R26)</f>
        <v>114630.0</v>
      </c>
      <c r="S27">
        <f>(SUM(S19:S22) + S26)</f>
        <v>113995.0</v>
      </c>
      <c r="T27">
        <f>(SUM(T19:T22) + T26)</f>
        <v>113360.0</v>
      </c>
    </row>
    <row r="29">
      <c r="B29" t="inlineStr">
        <is>
          <t>Operating Income</t>
        </is>
      </c>
      <c r="C29">
        <f>(C16 - C27)</f>
        <v>57685.0</v>
      </c>
      <c r="D29">
        <f>(D16 - D27)</f>
        <v>56800.0</v>
      </c>
      <c r="E29">
        <f>(E16 - E27)</f>
        <v>55915.0</v>
      </c>
      <c r="F29">
        <f>(F16 - F27)</f>
        <v>55030.0</v>
      </c>
      <c r="G29">
        <f>(G16 - G27)</f>
        <v>54145.0</v>
      </c>
      <c r="H29">
        <f>(H16 - H27)</f>
        <v>53260.0</v>
      </c>
      <c r="I29">
        <f>(I16 - I27)</f>
        <v>52375.0</v>
      </c>
      <c r="J29">
        <f>(J16 - J27)</f>
        <v>51490.0</v>
      </c>
      <c r="K29">
        <f>(K16 - K27)</f>
        <v>50605.0</v>
      </c>
      <c r="L29">
        <f>(L16 - L27)</f>
        <v>49720.0</v>
      </c>
      <c r="M29">
        <f>(M16 - M27)</f>
        <v>48835.0</v>
      </c>
      <c r="N29">
        <f>(N16 - N27)</f>
        <v>47950.0</v>
      </c>
      <c r="O29">
        <f>(O16 - O27)</f>
        <v>47065.0</v>
      </c>
      <c r="P29">
        <f>(P16 - P27)</f>
        <v>46180.0</v>
      </c>
      <c r="Q29">
        <f>(Q16 - Q27)</f>
        <v>45295.0</v>
      </c>
      <c r="R29">
        <f>(R16 - R27)</f>
        <v>44410.0</v>
      </c>
      <c r="S29">
        <f>(S16 - S27)</f>
        <v>43525.0</v>
      </c>
      <c r="T29">
        <f>(T16 - T27)</f>
        <v>42640.0</v>
      </c>
    </row>
    <row r="31">
      <c r="B31" t="inlineStr">
        <is>
          <t>Net Income</t>
        </is>
      </c>
      <c r="C31">
        <f>(C29 + 0)</f>
        <v>57685.0</v>
      </c>
      <c r="D31">
        <f>(D29 + 0)</f>
        <v>56800.0</v>
      </c>
      <c r="E31">
        <f>(E29 + 0)</f>
        <v>55915.0</v>
      </c>
      <c r="F31">
        <f>(F29 + 0)</f>
        <v>55030.0</v>
      </c>
      <c r="G31">
        <f>(G29 + 0)</f>
        <v>54145.0</v>
      </c>
      <c r="H31">
        <f>(H29 + 0)</f>
        <v>53260.0</v>
      </c>
      <c r="I31">
        <f>(I29 + 0)</f>
        <v>52375.0</v>
      </c>
      <c r="J31">
        <f>(J29 + 0)</f>
        <v>51490.0</v>
      </c>
      <c r="K31">
        <f>(K29 + 0)</f>
        <v>50605.0</v>
      </c>
      <c r="L31">
        <f>(L29 + 0)</f>
        <v>49720.0</v>
      </c>
      <c r="M31">
        <f>(M29 + 0)</f>
        <v>48835.0</v>
      </c>
      <c r="N31">
        <f>(N29 + 0)</f>
        <v>47950.0</v>
      </c>
      <c r="O31">
        <f>(O29 + 0)</f>
        <v>47065.0</v>
      </c>
      <c r="P31">
        <f>(P29 + 0)</f>
        <v>46180.0</v>
      </c>
      <c r="Q31">
        <f>(Q29 + 0)</f>
        <v>45295.0</v>
      </c>
      <c r="R31">
        <f>(R29 + 0)</f>
        <v>44410.0</v>
      </c>
      <c r="S31">
        <f>(S29 + 0)</f>
        <v>43525.0</v>
      </c>
      <c r="T31">
        <f>(T29 + 0)</f>
        <v>42640.0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SYNTHETIC TEST DATA</t>
        </is>
      </c>
    </row>
    <row r="2">
      <c r="A2" t="inlineStr">
        <is>
          <t>Company J (SYNTHETIC)</t>
        </is>
      </c>
    </row>
    <row r="5">
      <c r="C5" t="inlineStr">
        <is>
          <t>Account</t>
        </is>
      </c>
      <c r="D5" t="inlineStr">
        <is>
          <t>Jun 2026</t>
        </is>
      </c>
      <c r="E5" t="inlineStr">
        <is>
          <t>May 2026</t>
        </is>
      </c>
      <c r="F5" t="inlineStr">
        <is>
          <t>Apr 2026</t>
        </is>
      </c>
      <c r="G5" t="inlineStr">
        <is>
          <t>Mar 2026</t>
        </is>
      </c>
      <c r="H5" t="inlineStr">
        <is>
          <t>Feb 2026</t>
        </is>
      </c>
      <c r="I5" t="inlineStr">
        <is>
          <t>Jan 2026</t>
        </is>
      </c>
      <c r="J5" t="inlineStr">
        <is>
          <t>Dec 2025</t>
        </is>
      </c>
      <c r="K5" t="inlineStr">
        <is>
          <t>Nov 2025</t>
        </is>
      </c>
      <c r="L5" t="inlineStr">
        <is>
          <t>Oct 2025</t>
        </is>
      </c>
      <c r="M5" t="inlineStr">
        <is>
          <t>Sep 2025</t>
        </is>
      </c>
      <c r="N5" t="inlineStr">
        <is>
          <t>Aug 2025</t>
        </is>
      </c>
      <c r="O5" t="inlineStr">
        <is>
          <t>Jul 2025</t>
        </is>
      </c>
      <c r="P5" t="inlineStr">
        <is>
          <t>Jun 2025</t>
        </is>
      </c>
      <c r="Q5" t="inlineStr">
        <is>
          <t>May 2025</t>
        </is>
      </c>
      <c r="R5" t="inlineStr">
        <is>
          <t>Apr 2025</t>
        </is>
      </c>
      <c r="S5" t="inlineStr">
        <is>
          <t>Mar 2025</t>
        </is>
      </c>
      <c r="T5" t="inlineStr">
        <is>
          <t>Feb 2025</t>
        </is>
      </c>
      <c r="U5" t="inlineStr">
        <is>
          <t>Jan 2025</t>
        </is>
      </c>
    </row>
    <row r="6">
      <c r="A6" t="inlineStr">
        <is>
          <t>Assets</t>
        </is>
      </c>
    </row>
    <row r="7">
      <c r="C7" t="inlineStr">
        <is>
          <t>Checking Account</t>
        </is>
      </c>
      <c r="D7" t="n">
        <v>328400</v>
      </c>
      <c r="E7" t="n">
        <v>323200</v>
      </c>
      <c r="F7" t="n">
        <v>318000</v>
      </c>
      <c r="G7" t="n">
        <v>312800</v>
      </c>
      <c r="H7" t="n">
        <v>307600</v>
      </c>
      <c r="I7" t="n">
        <v>302400</v>
      </c>
      <c r="J7" t="n">
        <v>297200</v>
      </c>
      <c r="K7" t="n">
        <v>292000</v>
      </c>
      <c r="L7" t="n">
        <v>286800</v>
      </c>
      <c r="M7" t="n">
        <v>281600</v>
      </c>
      <c r="N7" t="n">
        <v>276400</v>
      </c>
      <c r="O7" t="n">
        <v>271200</v>
      </c>
      <c r="P7" t="n">
        <v>266000</v>
      </c>
      <c r="Q7" t="n">
        <v>260800</v>
      </c>
      <c r="R7" t="n">
        <v>255600</v>
      </c>
      <c r="S7" t="n">
        <v>250400</v>
      </c>
      <c r="T7" t="n">
        <v>245200</v>
      </c>
      <c r="U7" t="n">
        <v>240000</v>
      </c>
    </row>
    <row r="8">
      <c r="C8" t="inlineStr">
        <is>
          <t>Savings Account</t>
        </is>
      </c>
      <c r="D8" t="n">
        <v>150000</v>
      </c>
      <c r="E8" t="n">
        <v>150000</v>
      </c>
      <c r="F8" t="n">
        <v>150000</v>
      </c>
      <c r="G8" t="n">
        <v>150000</v>
      </c>
      <c r="H8" t="n">
        <v>150000</v>
      </c>
      <c r="I8" t="n">
        <v>150000</v>
      </c>
      <c r="J8" t="n">
        <v>150000</v>
      </c>
      <c r="K8" t="n">
        <v>150000</v>
      </c>
      <c r="L8" t="n">
        <v>150000</v>
      </c>
      <c r="M8" t="n">
        <v>150000</v>
      </c>
      <c r="N8" t="n">
        <v>150000</v>
      </c>
      <c r="O8" t="n">
        <v>150000</v>
      </c>
      <c r="P8" t="n">
        <v>150000</v>
      </c>
      <c r="Q8" t="n">
        <v>150000</v>
      </c>
      <c r="R8" t="n">
        <v>150000</v>
      </c>
      <c r="S8" t="n">
        <v>150000</v>
      </c>
      <c r="T8" t="n">
        <v>150000</v>
      </c>
      <c r="U8" t="n">
        <v>150000</v>
      </c>
    </row>
    <row r="9">
      <c r="C9" t="inlineStr">
        <is>
          <t>Total Cash</t>
        </is>
      </c>
      <c r="D9">
        <f>SUM(D7:D8)</f>
        <v>478400.0</v>
      </c>
      <c r="E9">
        <f>SUM(E7:E8)</f>
        <v>473200.0</v>
      </c>
      <c r="F9">
        <f>SUM(F7:F8)</f>
        <v>468000.0</v>
      </c>
      <c r="G9">
        <f>SUM(G7:G8)</f>
        <v>462800.0</v>
      </c>
      <c r="H9">
        <f>SUM(H7:H8)</f>
        <v>457600.0</v>
      </c>
      <c r="I9">
        <f>SUM(I7:I8)</f>
        <v>452400.0</v>
      </c>
      <c r="J9">
        <f>SUM(J7:J8)</f>
        <v>447200.0</v>
      </c>
      <c r="K9">
        <f>SUM(K7:K8)</f>
        <v>442000.0</v>
      </c>
      <c r="L9">
        <f>SUM(L7:L8)</f>
        <v>436800.0</v>
      </c>
      <c r="M9">
        <f>SUM(M7:M8)</f>
        <v>431600.0</v>
      </c>
      <c r="N9">
        <f>SUM(N7:N8)</f>
        <v>426400.0</v>
      </c>
      <c r="O9">
        <f>SUM(O7:O8)</f>
        <v>421200.0</v>
      </c>
      <c r="P9">
        <f>SUM(P7:P8)</f>
        <v>416000.0</v>
      </c>
      <c r="Q9">
        <f>SUM(Q7:Q8)</f>
        <v>410800.0</v>
      </c>
      <c r="R9">
        <f>SUM(R7:R8)</f>
        <v>405600.0</v>
      </c>
      <c r="S9">
        <f>SUM(S7:S8)</f>
        <v>400400.0</v>
      </c>
      <c r="T9">
        <f>SUM(T7:T8)</f>
        <v>395200.0</v>
      </c>
      <c r="U9">
        <f>SUM(U7:U8)</f>
        <v>390000.0</v>
      </c>
    </row>
    <row r="10">
      <c r="C10" t="inlineStr">
        <is>
          <t>Accounts Receivable</t>
        </is>
      </c>
      <c r="D10" t="n">
        <v>350800</v>
      </c>
      <c r="E10" t="n">
        <v>348400</v>
      </c>
      <c r="F10" t="n">
        <v>346000</v>
      </c>
      <c r="G10" t="n">
        <v>343600</v>
      </c>
      <c r="H10" t="n">
        <v>341200</v>
      </c>
      <c r="I10" t="n">
        <v>338800</v>
      </c>
      <c r="J10" t="n">
        <v>336400</v>
      </c>
      <c r="K10" t="n">
        <v>334000</v>
      </c>
      <c r="L10" t="n">
        <v>331600</v>
      </c>
      <c r="M10" t="n">
        <v>329200</v>
      </c>
      <c r="N10" t="n">
        <v>326800</v>
      </c>
      <c r="O10" t="n">
        <v>324400</v>
      </c>
      <c r="P10" t="n">
        <v>322000</v>
      </c>
      <c r="Q10" t="n">
        <v>319600</v>
      </c>
      <c r="R10" t="n">
        <v>317200</v>
      </c>
      <c r="S10" t="n">
        <v>314800</v>
      </c>
      <c r="T10" t="n">
        <v>312400</v>
      </c>
      <c r="U10" t="n">
        <v>310000</v>
      </c>
    </row>
    <row r="11">
      <c r="C11" t="inlineStr">
        <is>
          <t>Prepaid Expense</t>
        </is>
      </c>
      <c r="D11" t="n">
        <v>46000</v>
      </c>
      <c r="E11" t="n">
        <v>46000</v>
      </c>
      <c r="F11" t="n">
        <v>46000</v>
      </c>
      <c r="G11" t="n">
        <v>46000</v>
      </c>
      <c r="H11" t="n">
        <v>46000</v>
      </c>
      <c r="I11" t="n">
        <v>46000</v>
      </c>
      <c r="J11" t="n">
        <v>46000</v>
      </c>
      <c r="K11" t="n">
        <v>46000</v>
      </c>
      <c r="L11" t="n">
        <v>46000</v>
      </c>
      <c r="M11" t="n">
        <v>46000</v>
      </c>
      <c r="N11" t="n">
        <v>46000</v>
      </c>
      <c r="O11" t="n">
        <v>46000</v>
      </c>
      <c r="P11" t="n">
        <v>46000</v>
      </c>
      <c r="Q11" t="n">
        <v>46000</v>
      </c>
      <c r="R11" t="n">
        <v>46000</v>
      </c>
      <c r="S11" t="n">
        <v>46000</v>
      </c>
      <c r="T11" t="n">
        <v>46000</v>
      </c>
      <c r="U11" t="n">
        <v>46000</v>
      </c>
    </row>
    <row r="12">
      <c r="C12" t="inlineStr">
        <is>
          <t>Total Receivables</t>
        </is>
      </c>
      <c r="D12">
        <f>SUM(D10:D11)</f>
        <v>396800.0</v>
      </c>
      <c r="E12">
        <f>SUM(E10:E11)</f>
        <v>394400.0</v>
      </c>
      <c r="F12">
        <f>SUM(F10:F11)</f>
        <v>392000.0</v>
      </c>
      <c r="G12">
        <f>SUM(G10:G11)</f>
        <v>389600.0</v>
      </c>
      <c r="H12">
        <f>SUM(H10:H11)</f>
        <v>387200.0</v>
      </c>
      <c r="I12">
        <f>SUM(I10:I11)</f>
        <v>384800.0</v>
      </c>
      <c r="J12">
        <f>SUM(J10:J11)</f>
        <v>382400.0</v>
      </c>
      <c r="K12">
        <f>SUM(K10:K11)</f>
        <v>380000.0</v>
      </c>
      <c r="L12">
        <f>SUM(L10:L11)</f>
        <v>377600.0</v>
      </c>
      <c r="M12">
        <f>SUM(M10:M11)</f>
        <v>375200.0</v>
      </c>
      <c r="N12">
        <f>SUM(N10:N11)</f>
        <v>372800.0</v>
      </c>
      <c r="O12">
        <f>SUM(O10:O11)</f>
        <v>370400.0</v>
      </c>
      <c r="P12">
        <f>SUM(P10:P11)</f>
        <v>368000.0</v>
      </c>
      <c r="Q12">
        <f>SUM(Q10:Q11)</f>
        <v>365600.0</v>
      </c>
      <c r="R12">
        <f>SUM(R10:R11)</f>
        <v>363200.0</v>
      </c>
      <c r="S12">
        <f>SUM(S10:S11)</f>
        <v>360800.0</v>
      </c>
      <c r="T12">
        <f>SUM(T10:T11)</f>
        <v>358400.0</v>
      </c>
      <c r="U12">
        <f>SUM(U10:U11)</f>
        <v>356000.0</v>
      </c>
    </row>
    <row r="13">
      <c r="A13" t="inlineStr">
        <is>
          <t>Total Assets</t>
        </is>
      </c>
      <c r="D13">
        <f>(D9 + D12)</f>
        <v>875200.0</v>
      </c>
      <c r="E13">
        <f>(E9 + E12)</f>
        <v>867600.0</v>
      </c>
      <c r="F13">
        <f>(F9 + F12)</f>
        <v>860000.0</v>
      </c>
      <c r="G13">
        <f>(G9 + G12)</f>
        <v>852400.0</v>
      </c>
      <c r="H13">
        <f>(H9 + H12)</f>
        <v>844800.0</v>
      </c>
      <c r="I13">
        <f>(I9 + I12)</f>
        <v>837200.0</v>
      </c>
      <c r="J13">
        <f>(J9 + J12)</f>
        <v>829600.0</v>
      </c>
      <c r="K13">
        <f>(K9 + K12)</f>
        <v>822000.0</v>
      </c>
      <c r="L13">
        <f>(L9 + L12)</f>
        <v>814400.0</v>
      </c>
      <c r="M13">
        <f>(M9 + M12)</f>
        <v>806800.0</v>
      </c>
      <c r="N13">
        <f>(N9 + N12)</f>
        <v>799200.0</v>
      </c>
      <c r="O13">
        <f>(O9 + O12)</f>
        <v>791600.0</v>
      </c>
      <c r="P13">
        <f>(P9 + P12)</f>
        <v>784000.0</v>
      </c>
      <c r="Q13">
        <f>(Q9 + Q12)</f>
        <v>776400.0</v>
      </c>
      <c r="R13">
        <f>(R9 + R12)</f>
        <v>768800.0</v>
      </c>
      <c r="S13">
        <f>(S9 + S12)</f>
        <v>761200.0</v>
      </c>
      <c r="T13">
        <f>(T9 + T12)</f>
        <v>753600.0</v>
      </c>
      <c r="U13">
        <f>(U9 + U12)</f>
        <v>746000.0</v>
      </c>
    </row>
    <row r="15">
      <c r="A15" t="inlineStr">
        <is>
          <t>Liabilities and Equity</t>
        </is>
      </c>
    </row>
    <row r="16">
      <c r="C16" t="inlineStr">
        <is>
          <t>Accounts Payable</t>
        </is>
      </c>
      <c r="D16" t="n">
        <v>87300</v>
      </c>
      <c r="E16" t="n">
        <v>86400</v>
      </c>
      <c r="F16" t="n">
        <v>85500</v>
      </c>
      <c r="G16" t="n">
        <v>84600</v>
      </c>
      <c r="H16" t="n">
        <v>83700</v>
      </c>
      <c r="I16" t="n">
        <v>82800</v>
      </c>
      <c r="J16" t="n">
        <v>81900</v>
      </c>
      <c r="K16" t="n">
        <v>81000</v>
      </c>
      <c r="L16" t="n">
        <v>80100</v>
      </c>
      <c r="M16" t="n">
        <v>79200</v>
      </c>
      <c r="N16" t="n">
        <v>78300</v>
      </c>
      <c r="O16" t="n">
        <v>77400</v>
      </c>
      <c r="P16" t="n">
        <v>76500</v>
      </c>
      <c r="Q16" t="n">
        <v>75600</v>
      </c>
      <c r="R16" t="n">
        <v>74700</v>
      </c>
      <c r="S16" t="n">
        <v>73800</v>
      </c>
      <c r="T16" t="n">
        <v>72900</v>
      </c>
      <c r="U16" t="n">
        <v>72000</v>
      </c>
    </row>
    <row r="17">
      <c r="C17" t="inlineStr">
        <is>
          <t>Deferred Revenue</t>
        </is>
      </c>
      <c r="D17" t="n">
        <v>338700</v>
      </c>
      <c r="E17" t="n">
        <v>335600</v>
      </c>
      <c r="F17" t="n">
        <v>332500</v>
      </c>
      <c r="G17" t="n">
        <v>329400</v>
      </c>
      <c r="H17" t="n">
        <v>326300</v>
      </c>
      <c r="I17" t="n">
        <v>323200</v>
      </c>
      <c r="J17" t="n">
        <v>320100</v>
      </c>
      <c r="K17" t="n">
        <v>317000</v>
      </c>
      <c r="L17" t="n">
        <v>313900</v>
      </c>
      <c r="M17" t="n">
        <v>310800</v>
      </c>
      <c r="N17" t="n">
        <v>307700</v>
      </c>
      <c r="O17" t="n">
        <v>304600</v>
      </c>
      <c r="P17" t="n">
        <v>301500</v>
      </c>
      <c r="Q17" t="n">
        <v>298400</v>
      </c>
      <c r="R17" t="n">
        <v>295300</v>
      </c>
      <c r="S17" t="n">
        <v>292200</v>
      </c>
      <c r="T17" t="n">
        <v>289100</v>
      </c>
      <c r="U17" t="n">
        <v>286000</v>
      </c>
    </row>
    <row r="18">
      <c r="C18" t="inlineStr">
        <is>
          <t>Accrued Expenses</t>
        </is>
      </c>
      <c r="D18" t="n">
        <v>38000</v>
      </c>
      <c r="E18" t="n">
        <v>38000</v>
      </c>
      <c r="F18" t="n">
        <v>38000</v>
      </c>
      <c r="G18" t="n">
        <v>38000</v>
      </c>
      <c r="H18" t="n">
        <v>38000</v>
      </c>
      <c r="I18" t="n">
        <v>38000</v>
      </c>
      <c r="J18" t="n">
        <v>38000</v>
      </c>
      <c r="K18" t="n">
        <v>38000</v>
      </c>
      <c r="L18" t="n">
        <v>38000</v>
      </c>
      <c r="M18" t="n">
        <v>38000</v>
      </c>
      <c r="N18" t="n">
        <v>38000</v>
      </c>
      <c r="O18" t="n">
        <v>38000</v>
      </c>
      <c r="P18" t="n">
        <v>38000</v>
      </c>
      <c r="Q18" t="n">
        <v>38000</v>
      </c>
      <c r="R18" t="n">
        <v>38000</v>
      </c>
      <c r="S18" t="n">
        <v>38000</v>
      </c>
      <c r="T18" t="n">
        <v>38000</v>
      </c>
      <c r="U18" t="n">
        <v>38000</v>
      </c>
    </row>
    <row r="19">
      <c r="C19" t="inlineStr">
        <is>
          <t>Total Liabilities</t>
        </is>
      </c>
      <c r="D19">
        <f>SUM(D16:D18)</f>
        <v>464000.0</v>
      </c>
      <c r="E19">
        <f>SUM(E16:E18)</f>
        <v>460000.0</v>
      </c>
      <c r="F19">
        <f>SUM(F16:F18)</f>
        <v>456000.0</v>
      </c>
      <c r="G19">
        <f>SUM(G16:G18)</f>
        <v>452000.0</v>
      </c>
      <c r="H19">
        <f>SUM(H16:H18)</f>
        <v>448000.0</v>
      </c>
      <c r="I19">
        <f>SUM(I16:I18)</f>
        <v>444000.0</v>
      </c>
      <c r="J19">
        <f>SUM(J16:J18)</f>
        <v>440000.0</v>
      </c>
      <c r="K19">
        <f>SUM(K16:K18)</f>
        <v>436000.0</v>
      </c>
      <c r="L19">
        <f>SUM(L16:L18)</f>
        <v>432000.0</v>
      </c>
      <c r="M19">
        <f>SUM(M16:M18)</f>
        <v>428000.0</v>
      </c>
      <c r="N19">
        <f>SUM(N16:N18)</f>
        <v>424000.0</v>
      </c>
      <c r="O19">
        <f>SUM(O16:O18)</f>
        <v>420000.0</v>
      </c>
      <c r="P19">
        <f>SUM(P16:P18)</f>
        <v>416000.0</v>
      </c>
      <c r="Q19">
        <f>SUM(Q16:Q18)</f>
        <v>412000.0</v>
      </c>
      <c r="R19">
        <f>SUM(R16:R18)</f>
        <v>408000.0</v>
      </c>
      <c r="S19">
        <f>SUM(S16:S18)</f>
        <v>404000.0</v>
      </c>
      <c r="T19">
        <f>SUM(T16:T18)</f>
        <v>400000.0</v>
      </c>
      <c r="U19">
        <f>SUM(U16:U18)</f>
        <v>396000.0</v>
      </c>
    </row>
    <row r="20">
      <c r="C20" t="inlineStr">
        <is>
          <t>Retained Earnings</t>
        </is>
      </c>
      <c r="D20" t="n">
        <v>411200</v>
      </c>
      <c r="E20" t="n">
        <v>407600</v>
      </c>
      <c r="F20" t="n">
        <v>404000</v>
      </c>
      <c r="G20" t="n">
        <v>400400</v>
      </c>
      <c r="H20" t="n">
        <v>396800</v>
      </c>
      <c r="I20" t="n">
        <v>393200</v>
      </c>
      <c r="J20" t="n">
        <v>389600</v>
      </c>
      <c r="K20" t="n">
        <v>386000</v>
      </c>
      <c r="L20" t="n">
        <v>382400</v>
      </c>
      <c r="M20" t="n">
        <v>378800</v>
      </c>
      <c r="N20" t="n">
        <v>375200</v>
      </c>
      <c r="O20" t="n">
        <v>371600</v>
      </c>
      <c r="P20" t="n">
        <v>368000</v>
      </c>
      <c r="Q20" t="n">
        <v>364400</v>
      </c>
      <c r="R20" t="n">
        <v>360800</v>
      </c>
      <c r="S20" t="n">
        <v>357200</v>
      </c>
      <c r="T20" t="n">
        <v>353600</v>
      </c>
      <c r="U20" t="n">
        <v>350000</v>
      </c>
    </row>
    <row r="21">
      <c r="C21" t="inlineStr">
        <is>
          <t>Total Equity</t>
        </is>
      </c>
      <c r="D21">
        <f>(D20 + 0)</f>
        <v>411200.0</v>
      </c>
      <c r="E21">
        <f>(E20 + 0)</f>
        <v>407600.0</v>
      </c>
      <c r="F21">
        <f>(F20 + 0)</f>
        <v>404000.0</v>
      </c>
      <c r="G21">
        <f>(G20 + 0)</f>
        <v>400400.0</v>
      </c>
      <c r="H21">
        <f>(H20 + 0)</f>
        <v>396800.0</v>
      </c>
      <c r="I21">
        <f>(I20 + 0)</f>
        <v>393200.0</v>
      </c>
      <c r="J21">
        <f>(J20 + 0)</f>
        <v>389600.0</v>
      </c>
      <c r="K21">
        <f>(K20 + 0)</f>
        <v>386000.0</v>
      </c>
      <c r="L21">
        <f>(L20 + 0)</f>
        <v>382400.0</v>
      </c>
      <c r="M21">
        <f>(M20 + 0)</f>
        <v>378800.0</v>
      </c>
      <c r="N21">
        <f>(N20 + 0)</f>
        <v>375200.0</v>
      </c>
      <c r="O21">
        <f>(O20 + 0)</f>
        <v>371600.0</v>
      </c>
      <c r="P21">
        <f>(P20 + 0)</f>
        <v>368000.0</v>
      </c>
      <c r="Q21">
        <f>(Q20 + 0)</f>
        <v>364400.0</v>
      </c>
      <c r="R21">
        <f>(R20 + 0)</f>
        <v>360800.0</v>
      </c>
      <c r="S21">
        <f>(S20 + 0)</f>
        <v>357200.0</v>
      </c>
      <c r="T21">
        <f>(T20 + 0)</f>
        <v>353600.0</v>
      </c>
      <c r="U21">
        <f>(U20 + 0)</f>
        <v>350000.0</v>
      </c>
    </row>
    <row r="22">
      <c r="A22" t="inlineStr">
        <is>
          <t>Total Liabilities and Equity</t>
        </is>
      </c>
      <c r="D22">
        <f>(D19 + D21)</f>
        <v>875200.0</v>
      </c>
      <c r="E22">
        <f>(E19 + E21)</f>
        <v>867600.0</v>
      </c>
      <c r="F22">
        <f>(F19 + F21)</f>
        <v>860000.0</v>
      </c>
      <c r="G22">
        <f>(G19 + G21)</f>
        <v>852400.0</v>
      </c>
      <c r="H22">
        <f>(H19 + H21)</f>
        <v>844800.0</v>
      </c>
      <c r="I22">
        <f>(I19 + I21)</f>
        <v>837200.0</v>
      </c>
      <c r="J22">
        <f>(J19 + J21)</f>
        <v>829600.0</v>
      </c>
      <c r="K22">
        <f>(K19 + K21)</f>
        <v>822000.0</v>
      </c>
      <c r="L22">
        <f>(L19 + L21)</f>
        <v>814400.0</v>
      </c>
      <c r="M22">
        <f>(M19 + M21)</f>
        <v>806800.0</v>
      </c>
      <c r="N22">
        <f>(N19 + N21)</f>
        <v>799200.0</v>
      </c>
      <c r="O22">
        <f>(O19 + O21)</f>
        <v>791600.0</v>
      </c>
      <c r="P22">
        <f>(P19 + P21)</f>
        <v>784000.0</v>
      </c>
      <c r="Q22">
        <f>(Q19 + Q21)</f>
        <v>776400.0</v>
      </c>
      <c r="R22">
        <f>(R19 + R21)</f>
        <v>768800.0</v>
      </c>
      <c r="S22">
        <f>(S19 + S21)</f>
        <v>761200.0</v>
      </c>
      <c r="T22">
        <f>(T19 + T21)</f>
        <v>753600.0</v>
      </c>
      <c r="U22">
        <f>(U19 + U21)</f>
        <v>746000.0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2026-10-11T07:21:21Z</dcterms:created>
  <dcterms:modified xsi:type="dcterms:W3CDTF">2026-10-11T07:21:21Z</dcterms:modified>
</cp:coreProperties>
</file>