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SYNTHETIC TEST DATA</t>
        </is>
      </c>
    </row>
    <row r="2">
      <c r="A2" t="inlineStr">
        <is>
          <t>Company F (SYNTHETIC)</t>
        </is>
      </c>
    </row>
    <row r="3">
      <c r="A3" t="inlineStr">
        <is>
          <t>Scenario: one large settlement in a single month; oldest-first layout</t>
        </is>
      </c>
    </row>
    <row r="4">
      <c r="A4" t="inlineStr">
        <is>
          <t>For the month ended Jun 2026</t>
        </is>
      </c>
    </row>
    <row r="5">
      <c r="B5" t="inlineStr">
        <is>
          <t>Account</t>
        </is>
      </c>
      <c r="C5" t="inlineStr">
        <is>
          <t>Jan 2025</t>
        </is>
      </c>
      <c r="D5" t="inlineStr">
        <is>
          <t>Feb 2025</t>
        </is>
      </c>
      <c r="E5" t="inlineStr">
        <is>
          <t>Mar 2025</t>
        </is>
      </c>
      <c r="F5" t="inlineStr">
        <is>
          <t>Apr 2025</t>
        </is>
      </c>
      <c r="G5" t="inlineStr">
        <is>
          <t>May 2025</t>
        </is>
      </c>
      <c r="H5" t="inlineStr">
        <is>
          <t>Jun 2025</t>
        </is>
      </c>
      <c r="I5" t="inlineStr">
        <is>
          <t>Jul 2025</t>
        </is>
      </c>
      <c r="J5" t="inlineStr">
        <is>
          <t>Aug 2025</t>
        </is>
      </c>
      <c r="K5" t="inlineStr">
        <is>
          <t>Sep 2025</t>
        </is>
      </c>
      <c r="L5" t="inlineStr">
        <is>
          <t>Oct 2025</t>
        </is>
      </c>
      <c r="M5" t="inlineStr">
        <is>
          <t>Nov 2025</t>
        </is>
      </c>
      <c r="N5" t="inlineStr">
        <is>
          <t>Dec 2025</t>
        </is>
      </c>
      <c r="O5" t="inlineStr">
        <is>
          <t>Jan 2026</t>
        </is>
      </c>
      <c r="P5" t="inlineStr">
        <is>
          <t>Feb 2026</t>
        </is>
      </c>
      <c r="Q5" t="inlineStr">
        <is>
          <t>Mar 2026</t>
        </is>
      </c>
      <c r="R5" t="inlineStr">
        <is>
          <t>Apr 2026</t>
        </is>
      </c>
      <c r="S5" t="inlineStr">
        <is>
          <t>May 2026</t>
        </is>
      </c>
      <c r="T5" t="inlineStr">
        <is>
          <t>Jun 2026</t>
        </is>
      </c>
    </row>
    <row r="6">
      <c r="A6" t="inlineStr">
        <is>
          <t>Income</t>
        </is>
      </c>
    </row>
    <row r="7">
      <c r="B7" t="inlineStr">
        <is>
          <t>Consulting Revenue</t>
        </is>
      </c>
      <c r="C7" t="n">
        <v>140000</v>
      </c>
      <c r="D7" t="n">
        <v>140800</v>
      </c>
      <c r="E7" t="n">
        <v>141600</v>
      </c>
      <c r="F7" t="n">
        <v>142400</v>
      </c>
      <c r="G7" t="n">
        <v>143200</v>
      </c>
      <c r="H7" t="n">
        <v>144000</v>
      </c>
      <c r="I7" t="n">
        <v>144800</v>
      </c>
      <c r="J7" t="n">
        <v>145600</v>
      </c>
      <c r="K7" t="n">
        <v>146400</v>
      </c>
      <c r="L7" t="n">
        <v>147200</v>
      </c>
      <c r="M7" t="n">
        <v>148000</v>
      </c>
      <c r="N7" t="n">
        <v>148800</v>
      </c>
      <c r="O7" t="n">
        <v>149600</v>
      </c>
      <c r="P7" t="n">
        <v>150400</v>
      </c>
      <c r="Q7" t="n">
        <v>151200</v>
      </c>
      <c r="R7" t="n">
        <v>152000</v>
      </c>
      <c r="S7" t="n">
        <v>152800</v>
      </c>
      <c r="T7" t="n">
        <v>153600</v>
      </c>
    </row>
    <row r="8">
      <c r="B8" t="inlineStr">
        <is>
          <t>Retainer Revenue</t>
        </is>
      </c>
      <c r="C8" t="n">
        <v>45000</v>
      </c>
      <c r="D8" t="n">
        <v>45000</v>
      </c>
      <c r="E8" t="n">
        <v>45000</v>
      </c>
      <c r="F8" t="n">
        <v>45000</v>
      </c>
      <c r="G8" t="n">
        <v>45000</v>
      </c>
      <c r="H8" t="n">
        <v>45000</v>
      </c>
      <c r="I8" t="n">
        <v>45000</v>
      </c>
      <c r="J8" t="n">
        <v>45000</v>
      </c>
      <c r="K8" t="n">
        <v>45000</v>
      </c>
      <c r="L8" t="n">
        <v>45000</v>
      </c>
      <c r="M8" t="n">
        <v>45000</v>
      </c>
      <c r="N8" t="n">
        <v>45000</v>
      </c>
      <c r="O8" t="n">
        <v>45000</v>
      </c>
      <c r="P8" t="n">
        <v>45000</v>
      </c>
      <c r="Q8" t="n">
        <v>45000</v>
      </c>
      <c r="R8" t="n">
        <v>45000</v>
      </c>
      <c r="S8" t="n">
        <v>45000</v>
      </c>
      <c r="T8" t="n">
        <v>45000</v>
      </c>
    </row>
    <row r="9">
      <c r="A9" t="inlineStr">
        <is>
          <t>Total Income</t>
        </is>
      </c>
      <c r="C9">
        <f>SUM(C7:C8)</f>
        <v>185000.0</v>
      </c>
      <c r="D9">
        <f>SUM(D7:D8)</f>
        <v>185800.0</v>
      </c>
      <c r="E9">
        <f>SUM(E7:E8)</f>
        <v>186600.0</v>
      </c>
      <c r="F9">
        <f>SUM(F7:F8)</f>
        <v>187400.0</v>
      </c>
      <c r="G9">
        <f>SUM(G7:G8)</f>
        <v>188200.0</v>
      </c>
      <c r="H9">
        <f>SUM(H7:H8)</f>
        <v>189000.0</v>
      </c>
      <c r="I9">
        <f>SUM(I7:I8)</f>
        <v>189800.0</v>
      </c>
      <c r="J9">
        <f>SUM(J7:J8)</f>
        <v>190600.0</v>
      </c>
      <c r="K9">
        <f>SUM(K7:K8)</f>
        <v>191400.0</v>
      </c>
      <c r="L9">
        <f>SUM(L7:L8)</f>
        <v>192200.0</v>
      </c>
      <c r="M9">
        <f>SUM(M7:M8)</f>
        <v>193000.0</v>
      </c>
      <c r="N9">
        <f>SUM(N7:N8)</f>
        <v>193800.0</v>
      </c>
      <c r="O9">
        <f>SUM(O7:O8)</f>
        <v>194600.0</v>
      </c>
      <c r="P9">
        <f>SUM(P7:P8)</f>
        <v>195400.0</v>
      </c>
      <c r="Q9">
        <f>SUM(Q7:Q8)</f>
        <v>196200.0</v>
      </c>
      <c r="R9">
        <f>SUM(R7:R8)</f>
        <v>197000.0</v>
      </c>
      <c r="S9">
        <f>SUM(S7:S8)</f>
        <v>197800.0</v>
      </c>
      <c r="T9">
        <f>SUM(T7:T8)</f>
        <v>198600.0</v>
      </c>
    </row>
    <row r="11">
      <c r="A11" t="inlineStr">
        <is>
          <t>Cost of Goods Sold</t>
        </is>
      </c>
    </row>
    <row r="12">
      <c r="B12" t="inlineStr">
        <is>
          <t>Contractor Costs</t>
        </is>
      </c>
      <c r="C12" t="n">
        <v>38000</v>
      </c>
      <c r="D12" t="n">
        <v>38300</v>
      </c>
      <c r="E12" t="n">
        <v>38600</v>
      </c>
      <c r="F12" t="n">
        <v>38900</v>
      </c>
      <c r="G12" t="n">
        <v>39200</v>
      </c>
      <c r="H12" t="n">
        <v>39500</v>
      </c>
      <c r="I12" t="n">
        <v>39800</v>
      </c>
      <c r="J12" t="n">
        <v>40100</v>
      </c>
      <c r="K12" t="n">
        <v>40400</v>
      </c>
      <c r="L12" t="n">
        <v>40700</v>
      </c>
      <c r="M12" t="n">
        <v>41000</v>
      </c>
      <c r="N12" t="n">
        <v>41300</v>
      </c>
      <c r="O12" t="n">
        <v>41600</v>
      </c>
      <c r="P12" t="n">
        <v>41900</v>
      </c>
      <c r="Q12" t="n">
        <v>42200</v>
      </c>
      <c r="R12" t="n">
        <v>42500</v>
      </c>
      <c r="S12" t="n">
        <v>42800</v>
      </c>
      <c r="T12" t="n">
        <v>43100</v>
      </c>
    </row>
    <row r="13">
      <c r="A13" t="inlineStr">
        <is>
          <t>Total Cost of Goods Sold</t>
        </is>
      </c>
      <c r="C13">
        <f>SUM(C12:C12)</f>
        <v>38000</v>
      </c>
      <c r="D13">
        <f>SUM(D12:D12)</f>
        <v>38300</v>
      </c>
      <c r="E13">
        <f>SUM(E12:E12)</f>
        <v>38600</v>
      </c>
      <c r="F13">
        <f>SUM(F12:F12)</f>
        <v>38900</v>
      </c>
      <c r="G13">
        <f>SUM(G12:G12)</f>
        <v>39200</v>
      </c>
      <c r="H13">
        <f>SUM(H12:H12)</f>
        <v>39500</v>
      </c>
      <c r="I13">
        <f>SUM(I12:I12)</f>
        <v>39800</v>
      </c>
      <c r="J13">
        <f>SUM(J12:J12)</f>
        <v>40100</v>
      </c>
      <c r="K13">
        <f>SUM(K12:K12)</f>
        <v>40400</v>
      </c>
      <c r="L13">
        <f>SUM(L12:L12)</f>
        <v>40700</v>
      </c>
      <c r="M13">
        <f>SUM(M12:M12)</f>
        <v>41000</v>
      </c>
      <c r="N13">
        <f>SUM(N12:N12)</f>
        <v>41300</v>
      </c>
      <c r="O13">
        <f>SUM(O12:O12)</f>
        <v>41600</v>
      </c>
      <c r="P13">
        <f>SUM(P12:P12)</f>
        <v>41900</v>
      </c>
      <c r="Q13">
        <f>SUM(Q12:Q12)</f>
        <v>42200</v>
      </c>
      <c r="R13">
        <f>SUM(R12:R12)</f>
        <v>42500</v>
      </c>
      <c r="S13">
        <f>SUM(S12:S12)</f>
        <v>42800</v>
      </c>
      <c r="T13">
        <f>SUM(T12:T12)</f>
        <v>43100</v>
      </c>
    </row>
    <row r="15">
      <c r="B15" t="inlineStr">
        <is>
          <t>Gross Profit</t>
        </is>
      </c>
      <c r="C15">
        <f>(C9 - C13)</f>
        <v>147000.0</v>
      </c>
      <c r="D15">
        <f>(D9 - D13)</f>
        <v>147500.0</v>
      </c>
      <c r="E15">
        <f>(E9 - E13)</f>
        <v>148000.0</v>
      </c>
      <c r="F15">
        <f>(F9 - F13)</f>
        <v>148500.0</v>
      </c>
      <c r="G15">
        <f>(G9 - G13)</f>
        <v>149000.0</v>
      </c>
      <c r="H15">
        <f>(H9 - H13)</f>
        <v>149500.0</v>
      </c>
      <c r="I15">
        <f>(I9 - I13)</f>
        <v>150000.0</v>
      </c>
      <c r="J15">
        <f>(J9 - J13)</f>
        <v>150500.0</v>
      </c>
      <c r="K15">
        <f>(K9 - K13)</f>
        <v>151000.0</v>
      </c>
      <c r="L15">
        <f>(L9 - L13)</f>
        <v>151500.0</v>
      </c>
      <c r="M15">
        <f>(M9 - M13)</f>
        <v>152000.0</v>
      </c>
      <c r="N15">
        <f>(N9 - N13)</f>
        <v>152500.0</v>
      </c>
      <c r="O15">
        <f>(O9 - O13)</f>
        <v>153000.0</v>
      </c>
      <c r="P15">
        <f>(P9 - P13)</f>
        <v>153500.0</v>
      </c>
      <c r="Q15">
        <f>(Q9 - Q13)</f>
        <v>154000.0</v>
      </c>
      <c r="R15">
        <f>(R9 - R13)</f>
        <v>154500.0</v>
      </c>
      <c r="S15">
        <f>(S9 - S13)</f>
        <v>155000.0</v>
      </c>
      <c r="T15">
        <f>(T9 - T13)</f>
        <v>155500.0</v>
      </c>
    </row>
    <row r="17">
      <c r="A17" t="inlineStr">
        <is>
          <t>Operating Expenses</t>
        </is>
      </c>
    </row>
    <row r="18">
      <c r="B18" t="inlineStr">
        <is>
          <t>Legal Settlement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285000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B19" t="inlineStr">
        <is>
          <t>Rent</t>
        </is>
      </c>
      <c r="C19" t="n">
        <v>6800</v>
      </c>
      <c r="D19" t="n">
        <v>6800</v>
      </c>
      <c r="E19" t="n">
        <v>6800</v>
      </c>
      <c r="F19" t="n">
        <v>6800</v>
      </c>
      <c r="G19" t="n">
        <v>6800</v>
      </c>
      <c r="H19" t="n">
        <v>6800</v>
      </c>
      <c r="I19" t="n">
        <v>6800</v>
      </c>
      <c r="J19" t="n">
        <v>6800</v>
      </c>
      <c r="K19" t="n">
        <v>6800</v>
      </c>
      <c r="L19" t="n">
        <v>6800</v>
      </c>
      <c r="M19" t="n">
        <v>6800</v>
      </c>
      <c r="N19" t="n">
        <v>6800</v>
      </c>
      <c r="O19" t="n">
        <v>6800</v>
      </c>
      <c r="P19" t="n">
        <v>6800</v>
      </c>
      <c r="Q19" t="n">
        <v>6800</v>
      </c>
      <c r="R19" t="n">
        <v>6800</v>
      </c>
      <c r="S19" t="n">
        <v>6800</v>
      </c>
      <c r="T19" t="n">
        <v>6800</v>
      </c>
    </row>
    <row r="20">
      <c r="B20" t="inlineStr">
        <is>
          <t>Software &amp; SaaS</t>
        </is>
      </c>
      <c r="C20" t="n">
        <v>5200</v>
      </c>
      <c r="D20" t="n">
        <v>5200</v>
      </c>
      <c r="E20" t="n">
        <v>5200</v>
      </c>
      <c r="F20" t="n">
        <v>5200</v>
      </c>
      <c r="G20" t="n">
        <v>5200</v>
      </c>
      <c r="H20" t="n">
        <v>5200</v>
      </c>
      <c r="I20" t="n">
        <v>5200</v>
      </c>
      <c r="J20" t="n">
        <v>5200</v>
      </c>
      <c r="K20" t="n">
        <v>5200</v>
      </c>
      <c r="L20" t="n">
        <v>5200</v>
      </c>
      <c r="M20" t="n">
        <v>5200</v>
      </c>
      <c r="N20" t="n">
        <v>5200</v>
      </c>
      <c r="O20" t="n">
        <v>5200</v>
      </c>
      <c r="P20" t="n">
        <v>5200</v>
      </c>
      <c r="Q20" t="n">
        <v>5200</v>
      </c>
      <c r="R20" t="n">
        <v>5200</v>
      </c>
      <c r="S20" t="n">
        <v>5200</v>
      </c>
      <c r="T20" t="n">
        <v>5200</v>
      </c>
    </row>
    <row r="21">
      <c r="B21" t="inlineStr">
        <is>
          <t>Travel</t>
        </is>
      </c>
      <c r="C21" t="n">
        <v>2200</v>
      </c>
      <c r="D21" t="n">
        <v>2245</v>
      </c>
      <c r="E21" t="n">
        <v>2290</v>
      </c>
      <c r="F21" t="n">
        <v>2335</v>
      </c>
      <c r="G21" t="n">
        <v>2380</v>
      </c>
      <c r="H21" t="n">
        <v>2425</v>
      </c>
      <c r="I21" t="n">
        <v>2470</v>
      </c>
      <c r="J21" t="n">
        <v>2515</v>
      </c>
      <c r="K21" t="n">
        <v>2560</v>
      </c>
      <c r="L21" t="n">
        <v>2605</v>
      </c>
      <c r="M21" t="n">
        <v>2650</v>
      </c>
      <c r="N21" t="n">
        <v>2695</v>
      </c>
      <c r="O21" t="n">
        <v>2740</v>
      </c>
      <c r="P21" t="n">
        <v>2785</v>
      </c>
      <c r="Q21" t="n">
        <v>2830</v>
      </c>
      <c r="R21" t="n">
        <v>2875</v>
      </c>
      <c r="S21" t="n">
        <v>2920</v>
      </c>
      <c r="T21" t="n">
        <v>2965</v>
      </c>
    </row>
    <row r="22">
      <c r="B22" t="inlineStr">
        <is>
          <t>Delivery Payroll</t>
        </is>
      </c>
    </row>
    <row r="23">
      <c r="B23" t="inlineStr">
        <is>
          <t>Delivery - Payroll</t>
        </is>
      </c>
      <c r="C23" t="n">
        <v>64000</v>
      </c>
      <c r="D23" t="n">
        <v>64000</v>
      </c>
      <c r="E23" t="n">
        <v>64000</v>
      </c>
      <c r="F23" t="n">
        <v>64000</v>
      </c>
      <c r="G23" t="n">
        <v>64000</v>
      </c>
      <c r="H23" t="n">
        <v>64000</v>
      </c>
      <c r="I23" t="n">
        <v>64000</v>
      </c>
      <c r="J23" t="n">
        <v>64000</v>
      </c>
      <c r="K23" t="n">
        <v>64000</v>
      </c>
      <c r="L23" t="n">
        <v>64000</v>
      </c>
      <c r="M23" t="n">
        <v>64000</v>
      </c>
      <c r="N23" t="n">
        <v>64000</v>
      </c>
      <c r="O23" t="n">
        <v>64000</v>
      </c>
      <c r="P23" t="n">
        <v>64000</v>
      </c>
      <c r="Q23" t="n">
        <v>64000</v>
      </c>
      <c r="R23" t="n">
        <v>64000</v>
      </c>
      <c r="S23" t="n">
        <v>64000</v>
      </c>
      <c r="T23" t="n">
        <v>64000</v>
      </c>
    </row>
    <row r="24">
      <c r="B24" t="inlineStr">
        <is>
          <t>Delivery - Payroll Taxes</t>
        </is>
      </c>
      <c r="C24" t="n">
        <v>5120</v>
      </c>
      <c r="D24" t="n">
        <v>5120</v>
      </c>
      <c r="E24" t="n">
        <v>5120</v>
      </c>
      <c r="F24" t="n">
        <v>5120</v>
      </c>
      <c r="G24" t="n">
        <v>5120</v>
      </c>
      <c r="H24" t="n">
        <v>5120</v>
      </c>
      <c r="I24" t="n">
        <v>5120</v>
      </c>
      <c r="J24" t="n">
        <v>5120</v>
      </c>
      <c r="K24" t="n">
        <v>5120</v>
      </c>
      <c r="L24" t="n">
        <v>5120</v>
      </c>
      <c r="M24" t="n">
        <v>5120</v>
      </c>
      <c r="N24" t="n">
        <v>5120</v>
      </c>
      <c r="O24" t="n">
        <v>5120</v>
      </c>
      <c r="P24" t="n">
        <v>5120</v>
      </c>
      <c r="Q24" t="n">
        <v>5120</v>
      </c>
      <c r="R24" t="n">
        <v>5120</v>
      </c>
      <c r="S24" t="n">
        <v>5120</v>
      </c>
      <c r="T24" t="n">
        <v>5120</v>
      </c>
    </row>
    <row r="25">
      <c r="B25" t="inlineStr">
        <is>
          <t>Total Delivery Payroll</t>
        </is>
      </c>
      <c r="C25">
        <f>SUM(C23:C24)</f>
        <v>69120.0</v>
      </c>
      <c r="D25">
        <f>SUM(D23:D24)</f>
        <v>69120.0</v>
      </c>
      <c r="E25">
        <f>SUM(E23:E24)</f>
        <v>69120.0</v>
      </c>
      <c r="F25">
        <f>SUM(F23:F24)</f>
        <v>69120.0</v>
      </c>
      <c r="G25">
        <f>SUM(G23:G24)</f>
        <v>69120.0</v>
      </c>
      <c r="H25">
        <f>SUM(H23:H24)</f>
        <v>69120.0</v>
      </c>
      <c r="I25">
        <f>SUM(I23:I24)</f>
        <v>69120.0</v>
      </c>
      <c r="J25">
        <f>SUM(J23:J24)</f>
        <v>69120.0</v>
      </c>
      <c r="K25">
        <f>SUM(K23:K24)</f>
        <v>69120.0</v>
      </c>
      <c r="L25">
        <f>SUM(L23:L24)</f>
        <v>69120.0</v>
      </c>
      <c r="M25">
        <f>SUM(M23:M24)</f>
        <v>69120.0</v>
      </c>
      <c r="N25">
        <f>SUM(N23:N24)</f>
        <v>69120.0</v>
      </c>
      <c r="O25">
        <f>SUM(O23:O24)</f>
        <v>69120.0</v>
      </c>
      <c r="P25">
        <f>SUM(P23:P24)</f>
        <v>69120.0</v>
      </c>
      <c r="Q25">
        <f>SUM(Q23:Q24)</f>
        <v>69120.0</v>
      </c>
      <c r="R25">
        <f>SUM(R23:R24)</f>
        <v>69120.0</v>
      </c>
      <c r="S25">
        <f>SUM(S23:S24)</f>
        <v>69120.0</v>
      </c>
      <c r="T25">
        <f>SUM(T23:T24)</f>
        <v>69120.0</v>
      </c>
    </row>
    <row r="26">
      <c r="A26" t="inlineStr">
        <is>
          <t>Total Operating Expenses</t>
        </is>
      </c>
      <c r="C26">
        <f>(SUM(C18:C21) + C25)</f>
        <v>83320.0</v>
      </c>
      <c r="D26">
        <f>(SUM(D18:D21) + D25)</f>
        <v>83365.0</v>
      </c>
      <c r="E26">
        <f>(SUM(E18:E21) + E25)</f>
        <v>83410.0</v>
      </c>
      <c r="F26">
        <f>(SUM(F18:F21) + F25)</f>
        <v>83455.0</v>
      </c>
      <c r="G26">
        <f>(SUM(G18:G21) + G25)</f>
        <v>83500.0</v>
      </c>
      <c r="H26">
        <f>(SUM(H18:H21) + H25)</f>
        <v>83545.0</v>
      </c>
      <c r="I26">
        <f>(SUM(I18:I21) + I25)</f>
        <v>83590.0</v>
      </c>
      <c r="J26">
        <f>(SUM(J18:J21) + J25)</f>
        <v>83635.0</v>
      </c>
      <c r="K26">
        <f>(SUM(K18:K21) + K25)</f>
        <v>83680.0</v>
      </c>
      <c r="L26">
        <f>(SUM(L18:L21) + L25)</f>
        <v>83725.0</v>
      </c>
      <c r="M26">
        <f>(SUM(M18:M21) + M25)</f>
        <v>368770.0</v>
      </c>
      <c r="N26">
        <f>(SUM(N18:N21) + N25)</f>
        <v>83815.0</v>
      </c>
      <c r="O26">
        <f>(SUM(O18:O21) + O25)</f>
        <v>83860.0</v>
      </c>
      <c r="P26">
        <f>(SUM(P18:P21) + P25)</f>
        <v>83905.0</v>
      </c>
      <c r="Q26">
        <f>(SUM(Q18:Q21) + Q25)</f>
        <v>83950.0</v>
      </c>
      <c r="R26">
        <f>(SUM(R18:R21) + R25)</f>
        <v>83995.0</v>
      </c>
      <c r="S26">
        <f>(SUM(S18:S21) + S25)</f>
        <v>84040.0</v>
      </c>
      <c r="T26">
        <f>(SUM(T18:T21) + T25)</f>
        <v>84085.0</v>
      </c>
    </row>
    <row r="28">
      <c r="B28" t="inlineStr">
        <is>
          <t>Operating Income</t>
        </is>
      </c>
      <c r="C28">
        <f>(C15 - C26)</f>
        <v>63680.0</v>
      </c>
      <c r="D28">
        <f>(D15 - D26)</f>
        <v>64135.0</v>
      </c>
      <c r="E28">
        <f>(E15 - E26)</f>
        <v>64590.0</v>
      </c>
      <c r="F28">
        <f>(F15 - F26)</f>
        <v>65045.0</v>
      </c>
      <c r="G28">
        <f>(G15 - G26)</f>
        <v>65500.0</v>
      </c>
      <c r="H28">
        <f>(H15 - H26)</f>
        <v>65955.0</v>
      </c>
      <c r="I28">
        <f>(I15 - I26)</f>
        <v>66410.0</v>
      </c>
      <c r="J28">
        <f>(J15 - J26)</f>
        <v>66865.0</v>
      </c>
      <c r="K28">
        <f>(K15 - K26)</f>
        <v>67320.0</v>
      </c>
      <c r="L28">
        <f>(L15 - L26)</f>
        <v>67775.0</v>
      </c>
      <c r="M28">
        <f>(M15 - M26)</f>
        <v>-216770.0</v>
      </c>
      <c r="N28">
        <f>(N15 - N26)</f>
        <v>68685.0</v>
      </c>
      <c r="O28">
        <f>(O15 - O26)</f>
        <v>69140.0</v>
      </c>
      <c r="P28">
        <f>(P15 - P26)</f>
        <v>69595.0</v>
      </c>
      <c r="Q28">
        <f>(Q15 - Q26)</f>
        <v>70050.0</v>
      </c>
      <c r="R28">
        <f>(R15 - R26)</f>
        <v>70505.0</v>
      </c>
      <c r="S28">
        <f>(S15 - S26)</f>
        <v>70960.0</v>
      </c>
      <c r="T28">
        <f>(T15 - T26)</f>
        <v>71415.0</v>
      </c>
    </row>
    <row r="30">
      <c r="B30" t="inlineStr">
        <is>
          <t>Net Income</t>
        </is>
      </c>
      <c r="C30">
        <f>(C28 + 0)</f>
        <v>63680.0</v>
      </c>
      <c r="D30">
        <f>(D28 + 0)</f>
        <v>64135.0</v>
      </c>
      <c r="E30">
        <f>(E28 + 0)</f>
        <v>64590.0</v>
      </c>
      <c r="F30">
        <f>(F28 + 0)</f>
        <v>65045.0</v>
      </c>
      <c r="G30">
        <f>(G28 + 0)</f>
        <v>65500.0</v>
      </c>
      <c r="H30">
        <f>(H28 + 0)</f>
        <v>65955.0</v>
      </c>
      <c r="I30">
        <f>(I28 + 0)</f>
        <v>66410.0</v>
      </c>
      <c r="J30">
        <f>(J28 + 0)</f>
        <v>66865.0</v>
      </c>
      <c r="K30">
        <f>(K28 + 0)</f>
        <v>67320.0</v>
      </c>
      <c r="L30">
        <f>(L28 + 0)</f>
        <v>67775.0</v>
      </c>
      <c r="M30">
        <f>(M28 + 0)</f>
        <v>-216770.0</v>
      </c>
      <c r="N30">
        <f>(N28 + 0)</f>
        <v>68685.0</v>
      </c>
      <c r="O30">
        <f>(O28 + 0)</f>
        <v>69140.0</v>
      </c>
      <c r="P30">
        <f>(P28 + 0)</f>
        <v>69595.0</v>
      </c>
      <c r="Q30">
        <f>(Q28 + 0)</f>
        <v>70050.0</v>
      </c>
      <c r="R30">
        <f>(R28 + 0)</f>
        <v>70505.0</v>
      </c>
      <c r="S30">
        <f>(S28 + 0)</f>
        <v>70960.0</v>
      </c>
      <c r="T30">
        <f>(T28 + 0)</f>
        <v>71415.0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2026-10-11T07:21:20Z</dcterms:created>
  <dcterms:modified xsi:type="dcterms:W3CDTF">2026-10-11T07:21:20Z</dcterms:modified>
</cp:coreProperties>
</file>