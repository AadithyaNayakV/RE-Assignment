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B (SYNTHETIC)</t>
        </is>
      </c>
    </row>
    <row r="3">
      <c r="A3" t="inlineStr">
        <is>
          <t>Scenario: revenue declining for twelve months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Licence Revenue</t>
        </is>
      </c>
      <c r="C7" t="n">
        <v>106400</v>
      </c>
      <c r="D7" t="n">
        <v>114200</v>
      </c>
      <c r="E7" t="n">
        <v>122000</v>
      </c>
      <c r="F7" t="n">
        <v>129800</v>
      </c>
      <c r="G7" t="n">
        <v>137600</v>
      </c>
      <c r="H7" t="n">
        <v>145400</v>
      </c>
      <c r="I7" t="n">
        <v>153200</v>
      </c>
      <c r="J7" t="n">
        <v>161000</v>
      </c>
      <c r="K7" t="n">
        <v>168800</v>
      </c>
      <c r="L7" t="n">
        <v>176600</v>
      </c>
      <c r="M7" t="n">
        <v>184400</v>
      </c>
      <c r="N7" t="n">
        <v>192200</v>
      </c>
      <c r="O7" t="n">
        <v>191000</v>
      </c>
      <c r="P7" t="n">
        <v>189800</v>
      </c>
      <c r="Q7" t="n">
        <v>188600</v>
      </c>
      <c r="R7" t="n">
        <v>187400</v>
      </c>
      <c r="S7" t="n">
        <v>186200</v>
      </c>
      <c r="T7" t="n">
        <v>185000</v>
      </c>
    </row>
    <row r="8">
      <c r="B8" t="inlineStr">
        <is>
          <t>Maintenance Revenue</t>
        </is>
      </c>
      <c r="C8" t="n">
        <v>23450</v>
      </c>
      <c r="D8" t="n">
        <v>23600</v>
      </c>
      <c r="E8" t="n">
        <v>23750</v>
      </c>
      <c r="F8" t="n">
        <v>23900</v>
      </c>
      <c r="G8" t="n">
        <v>24050</v>
      </c>
      <c r="H8" t="n">
        <v>24200</v>
      </c>
      <c r="I8" t="n">
        <v>24350</v>
      </c>
      <c r="J8" t="n">
        <v>24500</v>
      </c>
      <c r="K8" t="n">
        <v>24650</v>
      </c>
      <c r="L8" t="n">
        <v>24800</v>
      </c>
      <c r="M8" t="n">
        <v>24950</v>
      </c>
      <c r="N8" t="n">
        <v>25100</v>
      </c>
      <c r="O8" t="n">
        <v>25250</v>
      </c>
      <c r="P8" t="n">
        <v>25400</v>
      </c>
      <c r="Q8" t="n">
        <v>25550</v>
      </c>
      <c r="R8" t="n">
        <v>25700</v>
      </c>
      <c r="S8" t="n">
        <v>25850</v>
      </c>
      <c r="T8" t="n">
        <v>26000</v>
      </c>
    </row>
    <row r="9">
      <c r="A9" t="inlineStr">
        <is>
          <t>Total Income</t>
        </is>
      </c>
      <c r="C9">
        <f>SUM(C7:C8)</f>
        <v>129850</v>
      </c>
      <c r="D9">
        <f>SUM(D7:D8)</f>
        <v>137800</v>
      </c>
      <c r="E9">
        <f>SUM(E7:E8)</f>
        <v>145750</v>
      </c>
      <c r="F9">
        <f>SUM(F7:F8)</f>
        <v>153700</v>
      </c>
      <c r="G9">
        <f>SUM(G7:G8)</f>
        <v>161650</v>
      </c>
      <c r="H9">
        <f>SUM(H7:H8)</f>
        <v>169600</v>
      </c>
      <c r="I9">
        <f>SUM(I7:I8)</f>
        <v>177550</v>
      </c>
      <c r="J9">
        <f>SUM(J7:J8)</f>
        <v>185500</v>
      </c>
      <c r="K9">
        <f>SUM(K7:K8)</f>
        <v>193450</v>
      </c>
      <c r="L9">
        <f>SUM(L7:L8)</f>
        <v>201400</v>
      </c>
      <c r="M9">
        <f>SUM(M7:M8)</f>
        <v>209350</v>
      </c>
      <c r="N9">
        <f>SUM(N7:N8)</f>
        <v>217300</v>
      </c>
      <c r="O9">
        <f>SUM(O7:O8)</f>
        <v>216250</v>
      </c>
      <c r="P9">
        <f>SUM(P7:P8)</f>
        <v>215200</v>
      </c>
      <c r="Q9">
        <f>SUM(Q7:Q8)</f>
        <v>214150</v>
      </c>
      <c r="R9">
        <f>SUM(R7:R8)</f>
        <v>213100</v>
      </c>
      <c r="S9">
        <f>SUM(S7:S8)</f>
        <v>212050</v>
      </c>
      <c r="T9">
        <f>SUM(T7:T8)</f>
        <v>211000</v>
      </c>
    </row>
    <row r="11">
      <c r="A11" t="inlineStr">
        <is>
          <t>Cost of Goods Sold</t>
        </is>
      </c>
    </row>
    <row r="12">
      <c r="B12" t="inlineStr">
        <is>
          <t>Delivery Payroll</t>
        </is>
      </c>
      <c r="C12" t="n">
        <v>31000</v>
      </c>
      <c r="D12" t="n">
        <v>31000</v>
      </c>
      <c r="E12" t="n">
        <v>31000</v>
      </c>
      <c r="F12" t="n">
        <v>31000</v>
      </c>
      <c r="G12" t="n">
        <v>31000</v>
      </c>
      <c r="H12" t="n">
        <v>31000</v>
      </c>
      <c r="I12" t="n">
        <v>31000</v>
      </c>
      <c r="J12" t="n">
        <v>31000</v>
      </c>
      <c r="K12" t="n">
        <v>31000</v>
      </c>
      <c r="L12" t="n">
        <v>31000</v>
      </c>
      <c r="M12" t="n">
        <v>31000</v>
      </c>
      <c r="N12" t="n">
        <v>31000</v>
      </c>
      <c r="O12" t="n">
        <v>31000</v>
      </c>
      <c r="P12" t="n">
        <v>31000</v>
      </c>
      <c r="Q12" t="n">
        <v>31000</v>
      </c>
      <c r="R12" t="n">
        <v>31000</v>
      </c>
      <c r="S12" t="n">
        <v>31000</v>
      </c>
      <c r="T12" t="n">
        <v>31000</v>
      </c>
    </row>
    <row r="13">
      <c r="B13" t="inlineStr">
        <is>
          <t>Third-Party Licences</t>
        </is>
      </c>
      <c r="C13" t="n">
        <v>10980</v>
      </c>
      <c r="D13" t="n">
        <v>11040</v>
      </c>
      <c r="E13" t="n">
        <v>11100</v>
      </c>
      <c r="F13" t="n">
        <v>11160</v>
      </c>
      <c r="G13" t="n">
        <v>11220</v>
      </c>
      <c r="H13" t="n">
        <v>11280</v>
      </c>
      <c r="I13" t="n">
        <v>11340</v>
      </c>
      <c r="J13" t="n">
        <v>11400</v>
      </c>
      <c r="K13" t="n">
        <v>11460</v>
      </c>
      <c r="L13" t="n">
        <v>11520</v>
      </c>
      <c r="M13" t="n">
        <v>11580</v>
      </c>
      <c r="N13" t="n">
        <v>11640</v>
      </c>
      <c r="O13" t="n">
        <v>11700</v>
      </c>
      <c r="P13" t="n">
        <v>11760</v>
      </c>
      <c r="Q13" t="n">
        <v>11820</v>
      </c>
      <c r="R13" t="n">
        <v>11880</v>
      </c>
      <c r="S13" t="n">
        <v>11940</v>
      </c>
      <c r="T13" t="n">
        <v>12000</v>
      </c>
    </row>
    <row r="14">
      <c r="A14" t="inlineStr">
        <is>
          <t>Total Cost of Goods Sold</t>
        </is>
      </c>
      <c r="C14">
        <f>SUM(C12:C13)</f>
        <v>41980.0</v>
      </c>
      <c r="D14">
        <f>SUM(D12:D13)</f>
        <v>42040.0</v>
      </c>
      <c r="E14">
        <f>SUM(E12:E13)</f>
        <v>42100.0</v>
      </c>
      <c r="F14">
        <f>SUM(F12:F13)</f>
        <v>42160.0</v>
      </c>
      <c r="G14">
        <f>SUM(G12:G13)</f>
        <v>42220.0</v>
      </c>
      <c r="H14">
        <f>SUM(H12:H13)</f>
        <v>42280.0</v>
      </c>
      <c r="I14">
        <f>SUM(I12:I13)</f>
        <v>42340.0</v>
      </c>
      <c r="J14">
        <f>SUM(J12:J13)</f>
        <v>42400.0</v>
      </c>
      <c r="K14">
        <f>SUM(K12:K13)</f>
        <v>42460.0</v>
      </c>
      <c r="L14">
        <f>SUM(L12:L13)</f>
        <v>42520.0</v>
      </c>
      <c r="M14">
        <f>SUM(M12:M13)</f>
        <v>42580.0</v>
      </c>
      <c r="N14">
        <f>SUM(N12:N13)</f>
        <v>42640.0</v>
      </c>
      <c r="O14">
        <f>SUM(O12:O13)</f>
        <v>42700.0</v>
      </c>
      <c r="P14">
        <f>SUM(P12:P13)</f>
        <v>42760.0</v>
      </c>
      <c r="Q14">
        <f>SUM(Q12:Q13)</f>
        <v>42820.0</v>
      </c>
      <c r="R14">
        <f>SUM(R12:R13)</f>
        <v>42880.0</v>
      </c>
      <c r="S14">
        <f>SUM(S12:S13)</f>
        <v>42940.0</v>
      </c>
      <c r="T14">
        <f>SUM(T12:T13)</f>
        <v>43000.0</v>
      </c>
    </row>
    <row r="16">
      <c r="B16" t="inlineStr">
        <is>
          <t>Gross Profit</t>
        </is>
      </c>
      <c r="C16">
        <f>(C9 - C14)</f>
        <v>87870.0</v>
      </c>
      <c r="D16">
        <f>(D9 - D14)</f>
        <v>95760.0</v>
      </c>
      <c r="E16">
        <f>(E9 - E14)</f>
        <v>103650.0</v>
      </c>
      <c r="F16">
        <f>(F9 - F14)</f>
        <v>111540.0</v>
      </c>
      <c r="G16">
        <f>(G9 - G14)</f>
        <v>119430.0</v>
      </c>
      <c r="H16">
        <f>(H9 - H14)</f>
        <v>127320.0</v>
      </c>
      <c r="I16">
        <f>(I9 - I14)</f>
        <v>135210.0</v>
      </c>
      <c r="J16">
        <f>(J9 - J14)</f>
        <v>143100.0</v>
      </c>
      <c r="K16">
        <f>(K9 - K14)</f>
        <v>150990.0</v>
      </c>
      <c r="L16">
        <f>(L9 - L14)</f>
        <v>158880.0</v>
      </c>
      <c r="M16">
        <f>(M9 - M14)</f>
        <v>166770.0</v>
      </c>
      <c r="N16">
        <f>(N9 - N14)</f>
        <v>174660.0</v>
      </c>
      <c r="O16">
        <f>(O9 - O14)</f>
        <v>173550.0</v>
      </c>
      <c r="P16">
        <f>(P9 - P14)</f>
        <v>172440.0</v>
      </c>
      <c r="Q16">
        <f>(Q9 - Q14)</f>
        <v>171330.0</v>
      </c>
      <c r="R16">
        <f>(R9 - R14)</f>
        <v>170220.0</v>
      </c>
      <c r="S16">
        <f>(S9 - S14)</f>
        <v>169110.0</v>
      </c>
      <c r="T16">
        <f>(T9 - T14)</f>
        <v>168000.0</v>
      </c>
    </row>
    <row r="18">
      <c r="A18" t="inlineStr">
        <is>
          <t>Operating Expenses</t>
        </is>
      </c>
    </row>
    <row r="19">
      <c r="B19" t="inlineStr">
        <is>
          <t>Rent</t>
        </is>
      </c>
      <c r="C19" t="n">
        <v>9000</v>
      </c>
      <c r="D19" t="n">
        <v>9000</v>
      </c>
      <c r="E19" t="n">
        <v>9000</v>
      </c>
      <c r="F19" t="n">
        <v>9000</v>
      </c>
      <c r="G19" t="n">
        <v>9000</v>
      </c>
      <c r="H19" t="n">
        <v>9000</v>
      </c>
      <c r="I19" t="n">
        <v>9000</v>
      </c>
      <c r="J19" t="n">
        <v>9000</v>
      </c>
      <c r="K19" t="n">
        <v>9000</v>
      </c>
      <c r="L19" t="n">
        <v>9000</v>
      </c>
      <c r="M19" t="n">
        <v>9000</v>
      </c>
      <c r="N19" t="n">
        <v>9000</v>
      </c>
      <c r="O19" t="n">
        <v>9000</v>
      </c>
      <c r="P19" t="n">
        <v>9000</v>
      </c>
      <c r="Q19" t="n">
        <v>9000</v>
      </c>
      <c r="R19" t="n">
        <v>9000</v>
      </c>
      <c r="S19" t="n">
        <v>9000</v>
      </c>
      <c r="T19" t="n">
        <v>9000</v>
      </c>
    </row>
    <row r="20">
      <c r="B20" t="inlineStr">
        <is>
          <t>Marketing/Advertising</t>
        </is>
      </c>
      <c r="C20" t="n">
        <v>10600</v>
      </c>
      <c r="D20" t="n">
        <v>10800</v>
      </c>
      <c r="E20" t="n">
        <v>11000</v>
      </c>
      <c r="F20" t="n">
        <v>11200</v>
      </c>
      <c r="G20" t="n">
        <v>11400</v>
      </c>
      <c r="H20" t="n">
        <v>11600</v>
      </c>
      <c r="I20" t="n">
        <v>11800</v>
      </c>
      <c r="J20" t="n">
        <v>12000</v>
      </c>
      <c r="K20" t="n">
        <v>12200</v>
      </c>
      <c r="L20" t="n">
        <v>12400</v>
      </c>
      <c r="M20" t="n">
        <v>12600</v>
      </c>
      <c r="N20" t="n">
        <v>12800</v>
      </c>
      <c r="O20" t="n">
        <v>13000</v>
      </c>
      <c r="P20" t="n">
        <v>13200</v>
      </c>
      <c r="Q20" t="n">
        <v>13400</v>
      </c>
      <c r="R20" t="n">
        <v>13600</v>
      </c>
      <c r="S20" t="n">
        <v>13800</v>
      </c>
      <c r="T20" t="n">
        <v>14000</v>
      </c>
    </row>
    <row r="21">
      <c r="B21" t="inlineStr">
        <is>
          <t>General Expenses</t>
        </is>
      </c>
      <c r="C21" t="n">
        <v>2400</v>
      </c>
      <c r="D21" t="n">
        <v>2400</v>
      </c>
      <c r="E21" t="n">
        <v>2400</v>
      </c>
      <c r="F21" t="n">
        <v>2400</v>
      </c>
      <c r="G21" t="n">
        <v>2400</v>
      </c>
      <c r="H21" t="n">
        <v>2400</v>
      </c>
      <c r="I21" t="n">
        <v>2400</v>
      </c>
      <c r="J21" t="n">
        <v>2400</v>
      </c>
      <c r="K21" t="n">
        <v>2400</v>
      </c>
      <c r="L21" t="n">
        <v>2400</v>
      </c>
      <c r="M21" t="n">
        <v>2400</v>
      </c>
      <c r="N21" t="n">
        <v>2400</v>
      </c>
      <c r="O21" t="n">
        <v>2400</v>
      </c>
      <c r="P21" t="n">
        <v>2400</v>
      </c>
      <c r="Q21" t="n">
        <v>2400</v>
      </c>
      <c r="R21" t="n">
        <v>2400</v>
      </c>
      <c r="S21" t="n">
        <v>2400</v>
      </c>
      <c r="T21" t="n">
        <v>2400</v>
      </c>
    </row>
    <row r="22">
      <c r="B22" t="inlineStr">
        <is>
          <t>Engineering Payroll</t>
        </is>
      </c>
    </row>
    <row r="23">
      <c r="B23" t="inlineStr">
        <is>
          <t>Engineering - Payroll</t>
        </is>
      </c>
      <c r="C23" t="n">
        <v>76000</v>
      </c>
      <c r="D23" t="n">
        <v>76000</v>
      </c>
      <c r="E23" t="n">
        <v>76000</v>
      </c>
      <c r="F23" t="n">
        <v>76000</v>
      </c>
      <c r="G23" t="n">
        <v>76000</v>
      </c>
      <c r="H23" t="n">
        <v>76000</v>
      </c>
      <c r="I23" t="n">
        <v>76000</v>
      </c>
      <c r="J23" t="n">
        <v>76000</v>
      </c>
      <c r="K23" t="n">
        <v>76000</v>
      </c>
      <c r="L23" t="n">
        <v>76000</v>
      </c>
      <c r="M23" t="n">
        <v>76000</v>
      </c>
      <c r="N23" t="n">
        <v>76000</v>
      </c>
      <c r="O23" t="n">
        <v>76000</v>
      </c>
      <c r="P23" t="n">
        <v>76000</v>
      </c>
      <c r="Q23" t="n">
        <v>76000</v>
      </c>
      <c r="R23" t="n">
        <v>76000</v>
      </c>
      <c r="S23" t="n">
        <v>76000</v>
      </c>
      <c r="T23" t="n">
        <v>76000</v>
      </c>
    </row>
    <row r="24">
      <c r="B24" t="inlineStr">
        <is>
          <t>Engineering - Payroll Taxes</t>
        </is>
      </c>
      <c r="C24" t="n">
        <v>6100</v>
      </c>
      <c r="D24" t="n">
        <v>6100</v>
      </c>
      <c r="E24" t="n">
        <v>6100</v>
      </c>
      <c r="F24" t="n">
        <v>6100</v>
      </c>
      <c r="G24" t="n">
        <v>6100</v>
      </c>
      <c r="H24" t="n">
        <v>6100</v>
      </c>
      <c r="I24" t="n">
        <v>6100</v>
      </c>
      <c r="J24" t="n">
        <v>6100</v>
      </c>
      <c r="K24" t="n">
        <v>6100</v>
      </c>
      <c r="L24" t="n">
        <v>6100</v>
      </c>
      <c r="M24" t="n">
        <v>6100</v>
      </c>
      <c r="N24" t="n">
        <v>6100</v>
      </c>
      <c r="O24" t="n">
        <v>6100</v>
      </c>
      <c r="P24" t="n">
        <v>6100</v>
      </c>
      <c r="Q24" t="n">
        <v>6100</v>
      </c>
      <c r="R24" t="n">
        <v>6100</v>
      </c>
      <c r="S24" t="n">
        <v>6100</v>
      </c>
      <c r="T24" t="n">
        <v>6100</v>
      </c>
    </row>
    <row r="25">
      <c r="B25" t="inlineStr">
        <is>
          <t>Total Engineering Payroll</t>
        </is>
      </c>
      <c r="C25">
        <f>SUM(C23:C24)</f>
        <v>82100.0</v>
      </c>
      <c r="D25">
        <f>SUM(D23:D24)</f>
        <v>82100.0</v>
      </c>
      <c r="E25">
        <f>SUM(E23:E24)</f>
        <v>82100.0</v>
      </c>
      <c r="F25">
        <f>SUM(F23:F24)</f>
        <v>82100.0</v>
      </c>
      <c r="G25">
        <f>SUM(G23:G24)</f>
        <v>82100.0</v>
      </c>
      <c r="H25">
        <f>SUM(H23:H24)</f>
        <v>82100.0</v>
      </c>
      <c r="I25">
        <f>SUM(I23:I24)</f>
        <v>82100.0</v>
      </c>
      <c r="J25">
        <f>SUM(J23:J24)</f>
        <v>82100.0</v>
      </c>
      <c r="K25">
        <f>SUM(K23:K24)</f>
        <v>82100.0</v>
      </c>
      <c r="L25">
        <f>SUM(L23:L24)</f>
        <v>82100.0</v>
      </c>
      <c r="M25">
        <f>SUM(M23:M24)</f>
        <v>82100.0</v>
      </c>
      <c r="N25">
        <f>SUM(N23:N24)</f>
        <v>82100.0</v>
      </c>
      <c r="O25">
        <f>SUM(O23:O24)</f>
        <v>82100.0</v>
      </c>
      <c r="P25">
        <f>SUM(P23:P24)</f>
        <v>82100.0</v>
      </c>
      <c r="Q25">
        <f>SUM(Q23:Q24)</f>
        <v>82100.0</v>
      </c>
      <c r="R25">
        <f>SUM(R23:R24)</f>
        <v>82100.0</v>
      </c>
      <c r="S25">
        <f>SUM(S23:S24)</f>
        <v>82100.0</v>
      </c>
      <c r="T25">
        <f>SUM(T23:T24)</f>
        <v>82100.0</v>
      </c>
    </row>
    <row r="26">
      <c r="A26" t="inlineStr">
        <is>
          <t>Total Operating Expenses</t>
        </is>
      </c>
      <c r="C26">
        <f>(SUM(C19:C21) + C25)</f>
        <v>104100.0</v>
      </c>
      <c r="D26">
        <f>(SUM(D19:D21) + D25)</f>
        <v>104300.0</v>
      </c>
      <c r="E26">
        <f>(SUM(E19:E21) + E25)</f>
        <v>104500.0</v>
      </c>
      <c r="F26">
        <f>(SUM(F19:F21) + F25)</f>
        <v>104700.0</v>
      </c>
      <c r="G26">
        <f>(SUM(G19:G21) + G25)</f>
        <v>104900.0</v>
      </c>
      <c r="H26">
        <f>(SUM(H19:H21) + H25)</f>
        <v>105100.0</v>
      </c>
      <c r="I26">
        <f>(SUM(I19:I21) + I25)</f>
        <v>105300.0</v>
      </c>
      <c r="J26">
        <f>(SUM(J19:J21) + J25)</f>
        <v>105500.0</v>
      </c>
      <c r="K26">
        <f>(SUM(K19:K21) + K25)</f>
        <v>105700.0</v>
      </c>
      <c r="L26">
        <f>(SUM(L19:L21) + L25)</f>
        <v>105900.0</v>
      </c>
      <c r="M26">
        <f>(SUM(M19:M21) + M25)</f>
        <v>106100.0</v>
      </c>
      <c r="N26">
        <f>(SUM(N19:N21) + N25)</f>
        <v>106300.0</v>
      </c>
      <c r="O26">
        <f>(SUM(O19:O21) + O25)</f>
        <v>106500.0</v>
      </c>
      <c r="P26">
        <f>(SUM(P19:P21) + P25)</f>
        <v>106700.0</v>
      </c>
      <c r="Q26">
        <f>(SUM(Q19:Q21) + Q25)</f>
        <v>106900.0</v>
      </c>
      <c r="R26">
        <f>(SUM(R19:R21) + R25)</f>
        <v>107100.0</v>
      </c>
      <c r="S26">
        <f>(SUM(S19:S21) + S25)</f>
        <v>107300.0</v>
      </c>
      <c r="T26">
        <f>(SUM(T19:T21) + T25)</f>
        <v>107500.0</v>
      </c>
    </row>
    <row r="28">
      <c r="B28" t="inlineStr">
        <is>
          <t>Operating Income</t>
        </is>
      </c>
      <c r="C28">
        <f>(C16 - C26)</f>
        <v>-16230.0</v>
      </c>
      <c r="D28">
        <f>(D16 - D26)</f>
        <v>-8540.0</v>
      </c>
      <c r="E28">
        <f>(E16 - E26)</f>
        <v>-850.0</v>
      </c>
      <c r="F28">
        <f>(F16 - F26)</f>
        <v>6840.0</v>
      </c>
      <c r="G28">
        <f>(G16 - G26)</f>
        <v>14530.0</v>
      </c>
      <c r="H28">
        <f>(H16 - H26)</f>
        <v>22220.0</v>
      </c>
      <c r="I28">
        <f>(I16 - I26)</f>
        <v>29910.0</v>
      </c>
      <c r="J28">
        <f>(J16 - J26)</f>
        <v>37600.0</v>
      </c>
      <c r="K28">
        <f>(K16 - K26)</f>
        <v>45290.0</v>
      </c>
      <c r="L28">
        <f>(L16 - L26)</f>
        <v>52980.0</v>
      </c>
      <c r="M28">
        <f>(M16 - M26)</f>
        <v>60670.0</v>
      </c>
      <c r="N28">
        <f>(N16 - N26)</f>
        <v>68360.0</v>
      </c>
      <c r="O28">
        <f>(O16 - O26)</f>
        <v>67050.0</v>
      </c>
      <c r="P28">
        <f>(P16 - P26)</f>
        <v>65740.0</v>
      </c>
      <c r="Q28">
        <f>(Q16 - Q26)</f>
        <v>64430.0</v>
      </c>
      <c r="R28">
        <f>(R16 - R26)</f>
        <v>63120.0</v>
      </c>
      <c r="S28">
        <f>(S16 - S26)</f>
        <v>61810.0</v>
      </c>
      <c r="T28">
        <f>(T16 - T26)</f>
        <v>60500.0</v>
      </c>
    </row>
    <row r="30">
      <c r="B30" t="inlineStr">
        <is>
          <t>Net Income</t>
        </is>
      </c>
      <c r="C30">
        <f>(C28 + 0)</f>
        <v>-16230.0</v>
      </c>
      <c r="D30">
        <f>(D28 + 0)</f>
        <v>-8540.0</v>
      </c>
      <c r="E30">
        <f>(E28 + 0)</f>
        <v>-850.0</v>
      </c>
      <c r="F30">
        <f>(F28 + 0)</f>
        <v>6840.0</v>
      </c>
      <c r="G30">
        <f>(G28 + 0)</f>
        <v>14530.0</v>
      </c>
      <c r="H30">
        <f>(H28 + 0)</f>
        <v>22220.0</v>
      </c>
      <c r="I30">
        <f>(I28 + 0)</f>
        <v>29910.0</v>
      </c>
      <c r="J30">
        <f>(J28 + 0)</f>
        <v>37600.0</v>
      </c>
      <c r="K30">
        <f>(K28 + 0)</f>
        <v>45290.0</v>
      </c>
      <c r="L30">
        <f>(L28 + 0)</f>
        <v>52980.0</v>
      </c>
      <c r="M30">
        <f>(M28 + 0)</f>
        <v>60670.0</v>
      </c>
      <c r="N30">
        <f>(N28 + 0)</f>
        <v>68360.0</v>
      </c>
      <c r="O30">
        <f>(O28 + 0)</f>
        <v>67050.0</v>
      </c>
      <c r="P30">
        <f>(P28 + 0)</f>
        <v>65740.0</v>
      </c>
      <c r="Q30">
        <f>(Q28 + 0)</f>
        <v>64430.0</v>
      </c>
      <c r="R30">
        <f>(R28 + 0)</f>
        <v>63120.0</v>
      </c>
      <c r="S30">
        <f>(S28 + 0)</f>
        <v>61810.0</v>
      </c>
      <c r="T30">
        <f>(T28 + 0)</f>
        <v>60500.0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2026-10-11T07:21:19Z</dcterms:created>
  <dcterms:modified xsi:type="dcterms:W3CDTF">2026-10-11T07:21:19Z</dcterms:modified>
</cp:coreProperties>
</file>