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SYNTHETIC TEST DATA</t>
        </is>
      </c>
    </row>
    <row r="2">
      <c r="A2" t="inlineStr">
        <is>
          <t>Company D (SYNTHETIC)</t>
        </is>
      </c>
    </row>
    <row r="3">
      <c r="A3" t="inlineStr">
        <is>
          <t>Scenario: COGS outgrows revenue, margin shrinks</t>
        </is>
      </c>
    </row>
    <row r="4">
      <c r="A4" t="inlineStr">
        <is>
          <t>For the month ended Jun 2026</t>
        </is>
      </c>
    </row>
    <row r="5">
      <c r="B5" t="inlineStr">
        <is>
          <t>Account</t>
        </is>
      </c>
      <c r="C5" t="inlineStr">
        <is>
          <t>Jun 2026</t>
        </is>
      </c>
      <c r="D5" t="inlineStr">
        <is>
          <t>May 2026</t>
        </is>
      </c>
      <c r="E5" t="inlineStr">
        <is>
          <t>Apr 2026</t>
        </is>
      </c>
      <c r="F5" t="inlineStr">
        <is>
          <t>Mar 2026</t>
        </is>
      </c>
      <c r="G5" t="inlineStr">
        <is>
          <t>Feb 2026</t>
        </is>
      </c>
      <c r="H5" t="inlineStr">
        <is>
          <t>Jan 2026</t>
        </is>
      </c>
      <c r="I5" t="inlineStr">
        <is>
          <t>Dec 2025</t>
        </is>
      </c>
      <c r="J5" t="inlineStr">
        <is>
          <t>Nov 2025</t>
        </is>
      </c>
      <c r="K5" t="inlineStr">
        <is>
          <t>Oct 2025</t>
        </is>
      </c>
      <c r="L5" t="inlineStr">
        <is>
          <t>Sep 2025</t>
        </is>
      </c>
      <c r="M5" t="inlineStr">
        <is>
          <t>Aug 2025</t>
        </is>
      </c>
      <c r="N5" t="inlineStr">
        <is>
          <t>Jul 2025</t>
        </is>
      </c>
      <c r="O5" t="inlineStr">
        <is>
          <t>Jun 2025</t>
        </is>
      </c>
      <c r="P5" t="inlineStr">
        <is>
          <t>May 2025</t>
        </is>
      </c>
      <c r="Q5" t="inlineStr">
        <is>
          <t>Apr 2025</t>
        </is>
      </c>
      <c r="R5" t="inlineStr">
        <is>
          <t>Mar 2025</t>
        </is>
      </c>
      <c r="S5" t="inlineStr">
        <is>
          <t>Feb 2025</t>
        </is>
      </c>
      <c r="T5" t="inlineStr">
        <is>
          <t>Jan 2025</t>
        </is>
      </c>
    </row>
    <row r="6">
      <c r="A6" t="inlineStr">
        <is>
          <t>Income</t>
        </is>
      </c>
    </row>
    <row r="7">
      <c r="B7" t="inlineStr">
        <is>
          <t>Product Revenue</t>
        </is>
      </c>
      <c r="C7" t="n">
        <v>225500</v>
      </c>
      <c r="D7" t="n">
        <v>224000</v>
      </c>
      <c r="E7" t="n">
        <v>222500</v>
      </c>
      <c r="F7" t="n">
        <v>221000</v>
      </c>
      <c r="G7" t="n">
        <v>219500</v>
      </c>
      <c r="H7" t="n">
        <v>218000</v>
      </c>
      <c r="I7" t="n">
        <v>216500</v>
      </c>
      <c r="J7" t="n">
        <v>215000</v>
      </c>
      <c r="K7" t="n">
        <v>213500</v>
      </c>
      <c r="L7" t="n">
        <v>212000</v>
      </c>
      <c r="M7" t="n">
        <v>210500</v>
      </c>
      <c r="N7" t="n">
        <v>209000</v>
      </c>
      <c r="O7" t="n">
        <v>207500</v>
      </c>
      <c r="P7" t="n">
        <v>206000</v>
      </c>
      <c r="Q7" t="n">
        <v>204500</v>
      </c>
      <c r="R7" t="n">
        <v>203000</v>
      </c>
      <c r="S7" t="n">
        <v>201500</v>
      </c>
      <c r="T7" t="n">
        <v>200000</v>
      </c>
    </row>
    <row r="8">
      <c r="A8" t="inlineStr">
        <is>
          <t>Total Income</t>
        </is>
      </c>
      <c r="C8">
        <f>SUM(C7:C7)</f>
        <v>225500</v>
      </c>
      <c r="D8">
        <f>SUM(D7:D7)</f>
        <v>224000</v>
      </c>
      <c r="E8">
        <f>SUM(E7:E7)</f>
        <v>222500</v>
      </c>
      <c r="F8">
        <f>SUM(F7:F7)</f>
        <v>221000</v>
      </c>
      <c r="G8">
        <f>SUM(G7:G7)</f>
        <v>219500</v>
      </c>
      <c r="H8">
        <f>SUM(H7:H7)</f>
        <v>218000</v>
      </c>
      <c r="I8">
        <f>SUM(I7:I7)</f>
        <v>216500</v>
      </c>
      <c r="J8">
        <f>SUM(J7:J7)</f>
        <v>215000</v>
      </c>
      <c r="K8">
        <f>SUM(K7:K7)</f>
        <v>213500</v>
      </c>
      <c r="L8">
        <f>SUM(L7:L7)</f>
        <v>212000</v>
      </c>
      <c r="M8">
        <f>SUM(M7:M7)</f>
        <v>210500</v>
      </c>
      <c r="N8">
        <f>SUM(N7:N7)</f>
        <v>209000</v>
      </c>
      <c r="O8">
        <f>SUM(O7:O7)</f>
        <v>207500</v>
      </c>
      <c r="P8">
        <f>SUM(P7:P7)</f>
        <v>206000</v>
      </c>
      <c r="Q8">
        <f>SUM(Q7:Q7)</f>
        <v>204500</v>
      </c>
      <c r="R8">
        <f>SUM(R7:R7)</f>
        <v>203000</v>
      </c>
      <c r="S8">
        <f>SUM(S7:S7)</f>
        <v>201500</v>
      </c>
      <c r="T8">
        <f>SUM(T7:T7)</f>
        <v>200000</v>
      </c>
    </row>
    <row r="10">
      <c r="A10" t="inlineStr">
        <is>
          <t>Cost of Goods Sold</t>
        </is>
      </c>
    </row>
    <row r="11">
      <c r="B11" t="inlineStr">
        <is>
          <t>Manufacturing</t>
        </is>
      </c>
      <c r="C11" t="n">
        <v>151400</v>
      </c>
      <c r="D11" t="n">
        <v>147200</v>
      </c>
      <c r="E11" t="n">
        <v>143000</v>
      </c>
      <c r="F11" t="n">
        <v>138800</v>
      </c>
      <c r="G11" t="n">
        <v>134600</v>
      </c>
      <c r="H11" t="n">
        <v>130400</v>
      </c>
      <c r="I11" t="n">
        <v>126200</v>
      </c>
      <c r="J11" t="n">
        <v>122000</v>
      </c>
      <c r="K11" t="n">
        <v>117800</v>
      </c>
      <c r="L11" t="n">
        <v>113600</v>
      </c>
      <c r="M11" t="n">
        <v>109400</v>
      </c>
      <c r="N11" t="n">
        <v>105200</v>
      </c>
      <c r="O11" t="n">
        <v>101000</v>
      </c>
      <c r="P11" t="n">
        <v>96800</v>
      </c>
      <c r="Q11" t="n">
        <v>92600</v>
      </c>
      <c r="R11" t="n">
        <v>88400</v>
      </c>
      <c r="S11" t="n">
        <v>84200</v>
      </c>
      <c r="T11" t="n">
        <v>80000</v>
      </c>
    </row>
    <row r="12">
      <c r="B12" t="inlineStr">
        <is>
          <t>Freight</t>
        </is>
      </c>
      <c r="C12" t="n">
        <v>23050</v>
      </c>
      <c r="D12" t="n">
        <v>22400</v>
      </c>
      <c r="E12" t="n">
        <v>21750</v>
      </c>
      <c r="F12" t="n">
        <v>21100</v>
      </c>
      <c r="G12" t="n">
        <v>20450</v>
      </c>
      <c r="H12" t="n">
        <v>19800</v>
      </c>
      <c r="I12" t="n">
        <v>19150</v>
      </c>
      <c r="J12" t="n">
        <v>18500</v>
      </c>
      <c r="K12" t="n">
        <v>17850</v>
      </c>
      <c r="L12" t="n">
        <v>17200</v>
      </c>
      <c r="M12" t="n">
        <v>16550</v>
      </c>
      <c r="N12" t="n">
        <v>15900</v>
      </c>
      <c r="O12" t="n">
        <v>15250</v>
      </c>
      <c r="P12" t="n">
        <v>14600</v>
      </c>
      <c r="Q12" t="n">
        <v>13950</v>
      </c>
      <c r="R12" t="n">
        <v>13300</v>
      </c>
      <c r="S12" t="n">
        <v>12650</v>
      </c>
      <c r="T12" t="n">
        <v>12000</v>
      </c>
    </row>
    <row r="13">
      <c r="A13" t="inlineStr">
        <is>
          <t>Total Cost of Goods Sold</t>
        </is>
      </c>
      <c r="C13">
        <f>SUM(C11:C12)</f>
        <v>174450</v>
      </c>
      <c r="D13">
        <f>SUM(D11:D12)</f>
        <v>169600</v>
      </c>
      <c r="E13">
        <f>SUM(E11:E12)</f>
        <v>164750</v>
      </c>
      <c r="F13">
        <f>SUM(F11:F12)</f>
        <v>159900</v>
      </c>
      <c r="G13">
        <f>SUM(G11:G12)</f>
        <v>155050</v>
      </c>
      <c r="H13">
        <f>SUM(H11:H12)</f>
        <v>150200</v>
      </c>
      <c r="I13">
        <f>SUM(I11:I12)</f>
        <v>145350</v>
      </c>
      <c r="J13">
        <f>SUM(J11:J12)</f>
        <v>140500</v>
      </c>
      <c r="K13">
        <f>SUM(K11:K12)</f>
        <v>135650</v>
      </c>
      <c r="L13">
        <f>SUM(L11:L12)</f>
        <v>130800</v>
      </c>
      <c r="M13">
        <f>SUM(M11:M12)</f>
        <v>125950</v>
      </c>
      <c r="N13">
        <f>SUM(N11:N12)</f>
        <v>121100</v>
      </c>
      <c r="O13">
        <f>SUM(O11:O12)</f>
        <v>116250</v>
      </c>
      <c r="P13">
        <f>SUM(P11:P12)</f>
        <v>111400</v>
      </c>
      <c r="Q13">
        <f>SUM(Q11:Q12)</f>
        <v>106550</v>
      </c>
      <c r="R13">
        <f>SUM(R11:R12)</f>
        <v>101700</v>
      </c>
      <c r="S13">
        <f>SUM(S11:S12)</f>
        <v>96850</v>
      </c>
      <c r="T13">
        <f>SUM(T11:T12)</f>
        <v>92000</v>
      </c>
    </row>
    <row r="15">
      <c r="B15" t="inlineStr">
        <is>
          <t>Gross Profit</t>
        </is>
      </c>
      <c r="C15">
        <f>(C8 - C13)</f>
        <v>51050</v>
      </c>
      <c r="D15">
        <f>(D8 - D13)</f>
        <v>54400</v>
      </c>
      <c r="E15">
        <f>(E8 - E13)</f>
        <v>57750</v>
      </c>
      <c r="F15">
        <f>(F8 - F13)</f>
        <v>61100</v>
      </c>
      <c r="G15">
        <f>(G8 - G13)</f>
        <v>64450</v>
      </c>
      <c r="H15">
        <f>(H8 - H13)</f>
        <v>67800</v>
      </c>
      <c r="I15">
        <f>(I8 - I13)</f>
        <v>71150</v>
      </c>
      <c r="J15">
        <f>(J8 - J13)</f>
        <v>74500</v>
      </c>
      <c r="K15">
        <f>(K8 - K13)</f>
        <v>77850</v>
      </c>
      <c r="L15">
        <f>(L8 - L13)</f>
        <v>81200</v>
      </c>
      <c r="M15">
        <f>(M8 - M13)</f>
        <v>84550</v>
      </c>
      <c r="N15">
        <f>(N8 - N13)</f>
        <v>87900</v>
      </c>
      <c r="O15">
        <f>(O8 - O13)</f>
        <v>91250</v>
      </c>
      <c r="P15">
        <f>(P8 - P13)</f>
        <v>94600</v>
      </c>
      <c r="Q15">
        <f>(Q8 - Q13)</f>
        <v>97950</v>
      </c>
      <c r="R15">
        <f>(R8 - R13)</f>
        <v>101300</v>
      </c>
      <c r="S15">
        <f>(S8 - S13)</f>
        <v>104650</v>
      </c>
      <c r="T15">
        <f>(T8 - T13)</f>
        <v>108000</v>
      </c>
    </row>
    <row r="17">
      <c r="A17" t="inlineStr">
        <is>
          <t>Operating Expenses</t>
        </is>
      </c>
    </row>
    <row r="18">
      <c r="B18" t="inlineStr">
        <is>
          <t>Rent</t>
        </is>
      </c>
      <c r="C18" t="n">
        <v>11000</v>
      </c>
      <c r="D18" t="n">
        <v>11000</v>
      </c>
      <c r="E18" t="n">
        <v>11000</v>
      </c>
      <c r="F18" t="n">
        <v>11000</v>
      </c>
      <c r="G18" t="n">
        <v>11000</v>
      </c>
      <c r="H18" t="n">
        <v>11000</v>
      </c>
      <c r="I18" t="n">
        <v>11000</v>
      </c>
      <c r="J18" t="n">
        <v>11000</v>
      </c>
      <c r="K18" t="n">
        <v>11000</v>
      </c>
      <c r="L18" t="n">
        <v>11000</v>
      </c>
      <c r="M18" t="n">
        <v>11000</v>
      </c>
      <c r="N18" t="n">
        <v>11000</v>
      </c>
      <c r="O18" t="n">
        <v>11000</v>
      </c>
      <c r="P18" t="n">
        <v>11000</v>
      </c>
      <c r="Q18" t="n">
        <v>11000</v>
      </c>
      <c r="R18" t="n">
        <v>11000</v>
      </c>
      <c r="S18" t="n">
        <v>11000</v>
      </c>
      <c r="T18" t="n">
        <v>11000</v>
      </c>
    </row>
    <row r="19">
      <c r="B19" t="inlineStr">
        <is>
          <t>Marketing/Advertising</t>
        </is>
      </c>
      <c r="C19" t="n">
        <v>16000</v>
      </c>
      <c r="D19" t="n">
        <v>16000</v>
      </c>
      <c r="E19" t="n">
        <v>16000</v>
      </c>
      <c r="F19" t="n">
        <v>16000</v>
      </c>
      <c r="G19" t="n">
        <v>16000</v>
      </c>
      <c r="H19" t="n">
        <v>16000</v>
      </c>
      <c r="I19" t="n">
        <v>16000</v>
      </c>
      <c r="J19" t="n">
        <v>16000</v>
      </c>
      <c r="K19" t="n">
        <v>16000</v>
      </c>
      <c r="L19" t="n">
        <v>16000</v>
      </c>
      <c r="M19" t="n">
        <v>16000</v>
      </c>
      <c r="N19" t="n">
        <v>16000</v>
      </c>
      <c r="O19" t="n">
        <v>16000</v>
      </c>
      <c r="P19" t="n">
        <v>16000</v>
      </c>
      <c r="Q19" t="n">
        <v>16000</v>
      </c>
      <c r="R19" t="n">
        <v>16000</v>
      </c>
      <c r="S19" t="n">
        <v>16000</v>
      </c>
      <c r="T19" t="n">
        <v>16000</v>
      </c>
    </row>
    <row r="20">
      <c r="B20" t="inlineStr">
        <is>
          <t>Accounting &amp; Tax</t>
        </is>
      </c>
      <c r="C20" t="n">
        <v>4000</v>
      </c>
      <c r="D20" t="n">
        <v>4000</v>
      </c>
      <c r="E20" t="n">
        <v>4000</v>
      </c>
      <c r="F20" t="n">
        <v>4000</v>
      </c>
      <c r="G20" t="n">
        <v>4000</v>
      </c>
      <c r="H20" t="n">
        <v>4000</v>
      </c>
      <c r="I20" t="n">
        <v>4000</v>
      </c>
      <c r="J20" t="n">
        <v>4000</v>
      </c>
      <c r="K20" t="n">
        <v>4000</v>
      </c>
      <c r="L20" t="n">
        <v>4000</v>
      </c>
      <c r="M20" t="n">
        <v>4000</v>
      </c>
      <c r="N20" t="n">
        <v>4000</v>
      </c>
      <c r="O20" t="n">
        <v>4000</v>
      </c>
      <c r="P20" t="n">
        <v>4000</v>
      </c>
      <c r="Q20" t="n">
        <v>4000</v>
      </c>
      <c r="R20" t="n">
        <v>4000</v>
      </c>
      <c r="S20" t="n">
        <v>4000</v>
      </c>
      <c r="T20" t="n">
        <v>4000</v>
      </c>
    </row>
    <row r="21">
      <c r="B21" t="inlineStr">
        <is>
          <t>Admin Payroll</t>
        </is>
      </c>
    </row>
    <row r="22">
      <c r="B22" t="inlineStr">
        <is>
          <t>Admin - Payroll</t>
        </is>
      </c>
      <c r="C22" t="n">
        <v>42000</v>
      </c>
      <c r="D22" t="n">
        <v>42000</v>
      </c>
      <c r="E22" t="n">
        <v>42000</v>
      </c>
      <c r="F22" t="n">
        <v>42000</v>
      </c>
      <c r="G22" t="n">
        <v>42000</v>
      </c>
      <c r="H22" t="n">
        <v>42000</v>
      </c>
      <c r="I22" t="n">
        <v>42000</v>
      </c>
      <c r="J22" t="n">
        <v>42000</v>
      </c>
      <c r="K22" t="n">
        <v>42000</v>
      </c>
      <c r="L22" t="n">
        <v>42000</v>
      </c>
      <c r="M22" t="n">
        <v>42000</v>
      </c>
      <c r="N22" t="n">
        <v>42000</v>
      </c>
      <c r="O22" t="n">
        <v>42000</v>
      </c>
      <c r="P22" t="n">
        <v>42000</v>
      </c>
      <c r="Q22" t="n">
        <v>42000</v>
      </c>
      <c r="R22" t="n">
        <v>42000</v>
      </c>
      <c r="S22" t="n">
        <v>42000</v>
      </c>
      <c r="T22" t="n">
        <v>42000</v>
      </c>
    </row>
    <row r="23">
      <c r="B23" t="inlineStr">
        <is>
          <t>Admin - Payroll Taxes</t>
        </is>
      </c>
      <c r="C23" t="n">
        <v>3360</v>
      </c>
      <c r="D23" t="n">
        <v>3360</v>
      </c>
      <c r="E23" t="n">
        <v>3360</v>
      </c>
      <c r="F23" t="n">
        <v>3360</v>
      </c>
      <c r="G23" t="n">
        <v>3360</v>
      </c>
      <c r="H23" t="n">
        <v>3360</v>
      </c>
      <c r="I23" t="n">
        <v>3360</v>
      </c>
      <c r="J23" t="n">
        <v>3360</v>
      </c>
      <c r="K23" t="n">
        <v>3360</v>
      </c>
      <c r="L23" t="n">
        <v>3360</v>
      </c>
      <c r="M23" t="n">
        <v>3360</v>
      </c>
      <c r="N23" t="n">
        <v>3360</v>
      </c>
      <c r="O23" t="n">
        <v>3360</v>
      </c>
      <c r="P23" t="n">
        <v>3360</v>
      </c>
      <c r="Q23" t="n">
        <v>3360</v>
      </c>
      <c r="R23" t="n">
        <v>3360</v>
      </c>
      <c r="S23" t="n">
        <v>3360</v>
      </c>
      <c r="T23" t="n">
        <v>3360</v>
      </c>
    </row>
    <row r="24">
      <c r="B24" t="inlineStr">
        <is>
          <t>Total Admin Payroll</t>
        </is>
      </c>
      <c r="C24">
        <f>SUM(C22:C23)</f>
        <v>45360.0</v>
      </c>
      <c r="D24">
        <f>SUM(D22:D23)</f>
        <v>45360.0</v>
      </c>
      <c r="E24">
        <f>SUM(E22:E23)</f>
        <v>45360.0</v>
      </c>
      <c r="F24">
        <f>SUM(F22:F23)</f>
        <v>45360.0</v>
      </c>
      <c r="G24">
        <f>SUM(G22:G23)</f>
        <v>45360.0</v>
      </c>
      <c r="H24">
        <f>SUM(H22:H23)</f>
        <v>45360.0</v>
      </c>
      <c r="I24">
        <f>SUM(I22:I23)</f>
        <v>45360.0</v>
      </c>
      <c r="J24">
        <f>SUM(J22:J23)</f>
        <v>45360.0</v>
      </c>
      <c r="K24">
        <f>SUM(K22:K23)</f>
        <v>45360.0</v>
      </c>
      <c r="L24">
        <f>SUM(L22:L23)</f>
        <v>45360.0</v>
      </c>
      <c r="M24">
        <f>SUM(M22:M23)</f>
        <v>45360.0</v>
      </c>
      <c r="N24">
        <f>SUM(N22:N23)</f>
        <v>45360.0</v>
      </c>
      <c r="O24">
        <f>SUM(O22:O23)</f>
        <v>45360.0</v>
      </c>
      <c r="P24">
        <f>SUM(P22:P23)</f>
        <v>45360.0</v>
      </c>
      <c r="Q24">
        <f>SUM(Q22:Q23)</f>
        <v>45360.0</v>
      </c>
      <c r="R24">
        <f>SUM(R22:R23)</f>
        <v>45360.0</v>
      </c>
      <c r="S24">
        <f>SUM(S22:S23)</f>
        <v>45360.0</v>
      </c>
      <c r="T24">
        <f>SUM(T22:T23)</f>
        <v>45360.0</v>
      </c>
    </row>
    <row r="25">
      <c r="A25" t="inlineStr">
        <is>
          <t>Total Operating Expenses</t>
        </is>
      </c>
      <c r="C25">
        <f>(SUM(C18:C20) + C24)</f>
        <v>76360.0</v>
      </c>
      <c r="D25">
        <f>(SUM(D18:D20) + D24)</f>
        <v>76360.0</v>
      </c>
      <c r="E25">
        <f>(SUM(E18:E20) + E24)</f>
        <v>76360.0</v>
      </c>
      <c r="F25">
        <f>(SUM(F18:F20) + F24)</f>
        <v>76360.0</v>
      </c>
      <c r="G25">
        <f>(SUM(G18:G20) + G24)</f>
        <v>76360.0</v>
      </c>
      <c r="H25">
        <f>(SUM(H18:H20) + H24)</f>
        <v>76360.0</v>
      </c>
      <c r="I25">
        <f>(SUM(I18:I20) + I24)</f>
        <v>76360.0</v>
      </c>
      <c r="J25">
        <f>(SUM(J18:J20) + J24)</f>
        <v>76360.0</v>
      </c>
      <c r="K25">
        <f>(SUM(K18:K20) + K24)</f>
        <v>76360.0</v>
      </c>
      <c r="L25">
        <f>(SUM(L18:L20) + L24)</f>
        <v>76360.0</v>
      </c>
      <c r="M25">
        <f>(SUM(M18:M20) + M24)</f>
        <v>76360.0</v>
      </c>
      <c r="N25">
        <f>(SUM(N18:N20) + N24)</f>
        <v>76360.0</v>
      </c>
      <c r="O25">
        <f>(SUM(O18:O20) + O24)</f>
        <v>76360.0</v>
      </c>
      <c r="P25">
        <f>(SUM(P18:P20) + P24)</f>
        <v>76360.0</v>
      </c>
      <c r="Q25">
        <f>(SUM(Q18:Q20) + Q24)</f>
        <v>76360.0</v>
      </c>
      <c r="R25">
        <f>(SUM(R18:R20) + R24)</f>
        <v>76360.0</v>
      </c>
      <c r="S25">
        <f>(SUM(S18:S20) + S24)</f>
        <v>76360.0</v>
      </c>
      <c r="T25">
        <f>(SUM(T18:T20) + T24)</f>
        <v>76360.0</v>
      </c>
    </row>
    <row r="27">
      <c r="B27" t="inlineStr">
        <is>
          <t>Operating Income</t>
        </is>
      </c>
      <c r="C27">
        <f>(C15 - C25)</f>
        <v>-25310.0</v>
      </c>
      <c r="D27">
        <f>(D15 - D25)</f>
        <v>-21960.0</v>
      </c>
      <c r="E27">
        <f>(E15 - E25)</f>
        <v>-18610.0</v>
      </c>
      <c r="F27">
        <f>(F15 - F25)</f>
        <v>-15260.0</v>
      </c>
      <c r="G27">
        <f>(G15 - G25)</f>
        <v>-11910.0</v>
      </c>
      <c r="H27">
        <f>(H15 - H25)</f>
        <v>-8560.0</v>
      </c>
      <c r="I27">
        <f>(I15 - I25)</f>
        <v>-5210.0</v>
      </c>
      <c r="J27">
        <f>(J15 - J25)</f>
        <v>-1860.0</v>
      </c>
      <c r="K27">
        <f>(K15 - K25)</f>
        <v>1490.0</v>
      </c>
      <c r="L27">
        <f>(L15 - L25)</f>
        <v>4840.0</v>
      </c>
      <c r="M27">
        <f>(M15 - M25)</f>
        <v>8190.0</v>
      </c>
      <c r="N27">
        <f>(N15 - N25)</f>
        <v>11540.0</v>
      </c>
      <c r="O27">
        <f>(O15 - O25)</f>
        <v>14890.0</v>
      </c>
      <c r="P27">
        <f>(P15 - P25)</f>
        <v>18240.0</v>
      </c>
      <c r="Q27">
        <f>(Q15 - Q25)</f>
        <v>21590.0</v>
      </c>
      <c r="R27">
        <f>(R15 - R25)</f>
        <v>24940.0</v>
      </c>
      <c r="S27">
        <f>(S15 - S25)</f>
        <v>28290.0</v>
      </c>
      <c r="T27">
        <f>(T15 - T25)</f>
        <v>31640.0</v>
      </c>
    </row>
    <row r="29">
      <c r="B29" t="inlineStr">
        <is>
          <t>Net Income</t>
        </is>
      </c>
      <c r="C29">
        <f>(C27 + 0)</f>
        <v>-25310.0</v>
      </c>
      <c r="D29">
        <f>(D27 + 0)</f>
        <v>-21960.0</v>
      </c>
      <c r="E29">
        <f>(E27 + 0)</f>
        <v>-18610.0</v>
      </c>
      <c r="F29">
        <f>(F27 + 0)</f>
        <v>-15260.0</v>
      </c>
      <c r="G29">
        <f>(G27 + 0)</f>
        <v>-11910.0</v>
      </c>
      <c r="H29">
        <f>(H27 + 0)</f>
        <v>-8560.0</v>
      </c>
      <c r="I29">
        <f>(I27 + 0)</f>
        <v>-5210.0</v>
      </c>
      <c r="J29">
        <f>(J27 + 0)</f>
        <v>-1860.0</v>
      </c>
      <c r="K29">
        <f>(K27 + 0)</f>
        <v>1490.0</v>
      </c>
      <c r="L29">
        <f>(L27 + 0)</f>
        <v>4840.0</v>
      </c>
      <c r="M29">
        <f>(M27 + 0)</f>
        <v>8190.0</v>
      </c>
      <c r="N29">
        <f>(N27 + 0)</f>
        <v>11540.0</v>
      </c>
      <c r="O29">
        <f>(O27 + 0)</f>
        <v>14890.0</v>
      </c>
      <c r="P29">
        <f>(P27 + 0)</f>
        <v>18240.0</v>
      </c>
      <c r="Q29">
        <f>(Q27 + 0)</f>
        <v>21590.0</v>
      </c>
      <c r="R29">
        <f>(R27 + 0)</f>
        <v>24940.0</v>
      </c>
      <c r="S29">
        <f>(S27 + 0)</f>
        <v>28290.0</v>
      </c>
      <c r="T29">
        <f>(T27 + 0)</f>
        <v>31640.0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2026-10-11T07:32:46Z</dcterms:created>
  <dcterms:modified xsi:type="dcterms:W3CDTF">2026-10-11T07:32:46Z</dcterms:modified>
</cp:coreProperties>
</file>