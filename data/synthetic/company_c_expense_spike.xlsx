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SYNTHETIC TEST DATA</t>
        </is>
      </c>
    </row>
    <row r="2">
      <c r="A2" t="inlineStr">
        <is>
          <t>Company C (SYNTHETIC)</t>
        </is>
      </c>
    </row>
    <row r="3">
      <c r="A3" t="inlineStr">
        <is>
          <t>Scenario: legal costs jump in month 13 and persist</t>
        </is>
      </c>
    </row>
    <row r="4">
      <c r="A4" t="inlineStr">
        <is>
          <t>For the month ended Jun 2026</t>
        </is>
      </c>
    </row>
    <row r="5">
      <c r="B5" t="inlineStr">
        <is>
          <t>Account</t>
        </is>
      </c>
      <c r="C5" t="inlineStr">
        <is>
          <t>Jun 2026</t>
        </is>
      </c>
      <c r="D5" t="inlineStr">
        <is>
          <t>May 2026</t>
        </is>
      </c>
      <c r="E5" t="inlineStr">
        <is>
          <t>Apr 2026</t>
        </is>
      </c>
      <c r="F5" t="inlineStr">
        <is>
          <t>Mar 2026</t>
        </is>
      </c>
      <c r="G5" t="inlineStr">
        <is>
          <t>Feb 2026</t>
        </is>
      </c>
      <c r="H5" t="inlineStr">
        <is>
          <t>Jan 2026</t>
        </is>
      </c>
      <c r="I5" t="inlineStr">
        <is>
          <t>Dec 2025</t>
        </is>
      </c>
      <c r="J5" t="inlineStr">
        <is>
          <t>Nov 2025</t>
        </is>
      </c>
      <c r="K5" t="inlineStr">
        <is>
          <t>Oct 2025</t>
        </is>
      </c>
      <c r="L5" t="inlineStr">
        <is>
          <t>Sep 2025</t>
        </is>
      </c>
      <c r="M5" t="inlineStr">
        <is>
          <t>Aug 2025</t>
        </is>
      </c>
      <c r="N5" t="inlineStr">
        <is>
          <t>Jul 2025</t>
        </is>
      </c>
      <c r="O5" t="inlineStr">
        <is>
          <t>Jun 2025</t>
        </is>
      </c>
      <c r="P5" t="inlineStr">
        <is>
          <t>May 2025</t>
        </is>
      </c>
      <c r="Q5" t="inlineStr">
        <is>
          <t>Apr 2025</t>
        </is>
      </c>
      <c r="R5" t="inlineStr">
        <is>
          <t>Mar 2025</t>
        </is>
      </c>
      <c r="S5" t="inlineStr">
        <is>
          <t>Feb 2025</t>
        </is>
      </c>
      <c r="T5" t="inlineStr">
        <is>
          <t>Jan 2025</t>
        </is>
      </c>
    </row>
    <row r="6">
      <c r="A6" t="inlineStr">
        <is>
          <t>Income</t>
        </is>
      </c>
    </row>
    <row r="7">
      <c r="B7" t="inlineStr">
        <is>
          <t>Platform Revenue</t>
        </is>
      </c>
      <c r="C7" t="n">
        <v>165300</v>
      </c>
      <c r="D7" t="n">
        <v>164400</v>
      </c>
      <c r="E7" t="n">
        <v>163500</v>
      </c>
      <c r="F7" t="n">
        <v>162600</v>
      </c>
      <c r="G7" t="n">
        <v>161700</v>
      </c>
      <c r="H7" t="n">
        <v>160800</v>
      </c>
      <c r="I7" t="n">
        <v>159900</v>
      </c>
      <c r="J7" t="n">
        <v>159000</v>
      </c>
      <c r="K7" t="n">
        <v>158100</v>
      </c>
      <c r="L7" t="n">
        <v>157200</v>
      </c>
      <c r="M7" t="n">
        <v>156300</v>
      </c>
      <c r="N7" t="n">
        <v>155400</v>
      </c>
      <c r="O7" t="n">
        <v>154500</v>
      </c>
      <c r="P7" t="n">
        <v>153600</v>
      </c>
      <c r="Q7" t="n">
        <v>152700</v>
      </c>
      <c r="R7" t="n">
        <v>151800</v>
      </c>
      <c r="S7" t="n">
        <v>150900</v>
      </c>
      <c r="T7" t="n">
        <v>150000</v>
      </c>
    </row>
    <row r="8">
      <c r="B8" t="inlineStr">
        <is>
          <t>Usage Fees</t>
        </is>
      </c>
      <c r="C8" t="n">
        <v>71900</v>
      </c>
      <c r="D8" t="n">
        <v>71200</v>
      </c>
      <c r="E8" t="n">
        <v>70500</v>
      </c>
      <c r="F8" t="n">
        <v>69800</v>
      </c>
      <c r="G8" t="n">
        <v>69100</v>
      </c>
      <c r="H8" t="n">
        <v>68400</v>
      </c>
      <c r="I8" t="n">
        <v>67700</v>
      </c>
      <c r="J8" t="n">
        <v>67000</v>
      </c>
      <c r="K8" t="n">
        <v>66300</v>
      </c>
      <c r="L8" t="n">
        <v>65600</v>
      </c>
      <c r="M8" t="n">
        <v>64900</v>
      </c>
      <c r="N8" t="n">
        <v>64200</v>
      </c>
      <c r="O8" t="n">
        <v>63500</v>
      </c>
      <c r="P8" t="n">
        <v>62800</v>
      </c>
      <c r="Q8" t="n">
        <v>62100</v>
      </c>
      <c r="R8" t="n">
        <v>61400</v>
      </c>
      <c r="S8" t="n">
        <v>60700</v>
      </c>
      <c r="T8" t="n">
        <v>60000</v>
      </c>
    </row>
    <row r="9">
      <c r="A9" t="inlineStr">
        <is>
          <t>Total Income</t>
        </is>
      </c>
      <c r="C9">
        <f>SUM(C7:C8)</f>
        <v>237200</v>
      </c>
      <c r="D9">
        <f>SUM(D7:D8)</f>
        <v>235600</v>
      </c>
      <c r="E9">
        <f>SUM(E7:E8)</f>
        <v>234000</v>
      </c>
      <c r="F9">
        <f>SUM(F7:F8)</f>
        <v>232400</v>
      </c>
      <c r="G9">
        <f>SUM(G7:G8)</f>
        <v>230800</v>
      </c>
      <c r="H9">
        <f>SUM(H7:H8)</f>
        <v>229200</v>
      </c>
      <c r="I9">
        <f>SUM(I7:I8)</f>
        <v>227600</v>
      </c>
      <c r="J9">
        <f>SUM(J7:J8)</f>
        <v>226000</v>
      </c>
      <c r="K9">
        <f>SUM(K7:K8)</f>
        <v>224400</v>
      </c>
      <c r="L9">
        <f>SUM(L7:L8)</f>
        <v>222800</v>
      </c>
      <c r="M9">
        <f>SUM(M7:M8)</f>
        <v>221200</v>
      </c>
      <c r="N9">
        <f>SUM(N7:N8)</f>
        <v>219600</v>
      </c>
      <c r="O9">
        <f>SUM(O7:O8)</f>
        <v>218000</v>
      </c>
      <c r="P9">
        <f>SUM(P7:P8)</f>
        <v>216400</v>
      </c>
      <c r="Q9">
        <f>SUM(Q7:Q8)</f>
        <v>214800</v>
      </c>
      <c r="R9">
        <f>SUM(R7:R8)</f>
        <v>213200</v>
      </c>
      <c r="S9">
        <f>SUM(S7:S8)</f>
        <v>211600</v>
      </c>
      <c r="T9">
        <f>SUM(T7:T8)</f>
        <v>210000</v>
      </c>
    </row>
    <row r="11">
      <c r="A11" t="inlineStr">
        <is>
          <t>Cost of Goods Sold</t>
        </is>
      </c>
    </row>
    <row r="12">
      <c r="B12" t="inlineStr">
        <is>
          <t>Hosting</t>
        </is>
      </c>
      <c r="C12" t="n">
        <v>16550</v>
      </c>
      <c r="D12" t="n">
        <v>16400</v>
      </c>
      <c r="E12" t="n">
        <v>16250</v>
      </c>
      <c r="F12" t="n">
        <v>16100</v>
      </c>
      <c r="G12" t="n">
        <v>15950</v>
      </c>
      <c r="H12" t="n">
        <v>15800</v>
      </c>
      <c r="I12" t="n">
        <v>15650</v>
      </c>
      <c r="J12" t="n">
        <v>15500</v>
      </c>
      <c r="K12" t="n">
        <v>15350</v>
      </c>
      <c r="L12" t="n">
        <v>15200</v>
      </c>
      <c r="M12" t="n">
        <v>15050</v>
      </c>
      <c r="N12" t="n">
        <v>14900</v>
      </c>
      <c r="O12" t="n">
        <v>14750</v>
      </c>
      <c r="P12" t="n">
        <v>14600</v>
      </c>
      <c r="Q12" t="n">
        <v>14450</v>
      </c>
      <c r="R12" t="n">
        <v>14300</v>
      </c>
      <c r="S12" t="n">
        <v>14150</v>
      </c>
      <c r="T12" t="n">
        <v>14000</v>
      </c>
    </row>
    <row r="13">
      <c r="B13" t="inlineStr">
        <is>
          <t>Payment Processing</t>
        </is>
      </c>
      <c r="C13" t="n">
        <v>4880</v>
      </c>
      <c r="D13" t="n">
        <v>4840</v>
      </c>
      <c r="E13" t="n">
        <v>4800</v>
      </c>
      <c r="F13" t="n">
        <v>4760</v>
      </c>
      <c r="G13" t="n">
        <v>4720</v>
      </c>
      <c r="H13" t="n">
        <v>4680</v>
      </c>
      <c r="I13" t="n">
        <v>4640</v>
      </c>
      <c r="J13" t="n">
        <v>4600</v>
      </c>
      <c r="K13" t="n">
        <v>4560</v>
      </c>
      <c r="L13" t="n">
        <v>4520</v>
      </c>
      <c r="M13" t="n">
        <v>4480</v>
      </c>
      <c r="N13" t="n">
        <v>4440</v>
      </c>
      <c r="O13" t="n">
        <v>4400</v>
      </c>
      <c r="P13" t="n">
        <v>4360</v>
      </c>
      <c r="Q13" t="n">
        <v>4320</v>
      </c>
      <c r="R13" t="n">
        <v>4280</v>
      </c>
      <c r="S13" t="n">
        <v>4240</v>
      </c>
      <c r="T13" t="n">
        <v>4200</v>
      </c>
    </row>
    <row r="14">
      <c r="A14" t="inlineStr">
        <is>
          <t>Total Cost of Goods Sold</t>
        </is>
      </c>
      <c r="C14">
        <f>SUM(C12:C13)</f>
        <v>21430</v>
      </c>
      <c r="D14">
        <f>SUM(D12:D13)</f>
        <v>21240</v>
      </c>
      <c r="E14">
        <f>SUM(E12:E13)</f>
        <v>21050</v>
      </c>
      <c r="F14">
        <f>SUM(F12:F13)</f>
        <v>20860</v>
      </c>
      <c r="G14">
        <f>SUM(G12:G13)</f>
        <v>20670</v>
      </c>
      <c r="H14">
        <f>SUM(H12:H13)</f>
        <v>20480</v>
      </c>
      <c r="I14">
        <f>SUM(I12:I13)</f>
        <v>20290</v>
      </c>
      <c r="J14">
        <f>SUM(J12:J13)</f>
        <v>20100</v>
      </c>
      <c r="K14">
        <f>SUM(K12:K13)</f>
        <v>19910</v>
      </c>
      <c r="L14">
        <f>SUM(L12:L13)</f>
        <v>19720</v>
      </c>
      <c r="M14">
        <f>SUM(M12:M13)</f>
        <v>19530</v>
      </c>
      <c r="N14">
        <f>SUM(N12:N13)</f>
        <v>19340</v>
      </c>
      <c r="O14">
        <f>SUM(O12:O13)</f>
        <v>19150</v>
      </c>
      <c r="P14">
        <f>SUM(P12:P13)</f>
        <v>18960</v>
      </c>
      <c r="Q14">
        <f>SUM(Q12:Q13)</f>
        <v>18770</v>
      </c>
      <c r="R14">
        <f>SUM(R12:R13)</f>
        <v>18580</v>
      </c>
      <c r="S14">
        <f>SUM(S12:S13)</f>
        <v>18390</v>
      </c>
      <c r="T14">
        <f>SUM(T12:T13)</f>
        <v>18200</v>
      </c>
    </row>
    <row r="16">
      <c r="B16" t="inlineStr">
        <is>
          <t>Gross Profit</t>
        </is>
      </c>
      <c r="C16">
        <f>(C9 - C14)</f>
        <v>215770</v>
      </c>
      <c r="D16">
        <f>(D9 - D14)</f>
        <v>214360</v>
      </c>
      <c r="E16">
        <f>(E9 - E14)</f>
        <v>212950</v>
      </c>
      <c r="F16">
        <f>(F9 - F14)</f>
        <v>211540</v>
      </c>
      <c r="G16">
        <f>(G9 - G14)</f>
        <v>210130</v>
      </c>
      <c r="H16">
        <f>(H9 - H14)</f>
        <v>208720</v>
      </c>
      <c r="I16">
        <f>(I9 - I14)</f>
        <v>207310</v>
      </c>
      <c r="J16">
        <f>(J9 - J14)</f>
        <v>205900</v>
      </c>
      <c r="K16">
        <f>(K9 - K14)</f>
        <v>204490</v>
      </c>
      <c r="L16">
        <f>(L9 - L14)</f>
        <v>203080</v>
      </c>
      <c r="M16">
        <f>(M9 - M14)</f>
        <v>201670</v>
      </c>
      <c r="N16">
        <f>(N9 - N14)</f>
        <v>200260</v>
      </c>
      <c r="O16">
        <f>(O9 - O14)</f>
        <v>198850</v>
      </c>
      <c r="P16">
        <f>(P9 - P14)</f>
        <v>197440</v>
      </c>
      <c r="Q16">
        <f>(Q9 - Q14)</f>
        <v>196030</v>
      </c>
      <c r="R16">
        <f>(R9 - R14)</f>
        <v>194620</v>
      </c>
      <c r="S16">
        <f>(S9 - S14)</f>
        <v>193210</v>
      </c>
      <c r="T16">
        <f>(T9 - T14)</f>
        <v>191800</v>
      </c>
    </row>
    <row r="18">
      <c r="A18" t="inlineStr">
        <is>
          <t>Operating Expenses</t>
        </is>
      </c>
    </row>
    <row r="19">
      <c r="B19" t="inlineStr">
        <is>
          <t>Legal Expenses</t>
        </is>
      </c>
      <c r="C19" t="n">
        <v>36000</v>
      </c>
      <c r="D19" t="n">
        <v>36000</v>
      </c>
      <c r="E19" t="n">
        <v>36000</v>
      </c>
      <c r="F19" t="n">
        <v>36000</v>
      </c>
      <c r="G19" t="n">
        <v>36000</v>
      </c>
      <c r="H19" t="n">
        <v>36000</v>
      </c>
      <c r="I19" t="n">
        <v>2000</v>
      </c>
      <c r="J19" t="n">
        <v>2000</v>
      </c>
      <c r="K19" t="n">
        <v>2000</v>
      </c>
      <c r="L19" t="n">
        <v>2000</v>
      </c>
      <c r="M19" t="n">
        <v>2000</v>
      </c>
      <c r="N19" t="n">
        <v>2000</v>
      </c>
      <c r="O19" t="n">
        <v>2000</v>
      </c>
      <c r="P19" t="n">
        <v>2000</v>
      </c>
      <c r="Q19" t="n">
        <v>2000</v>
      </c>
      <c r="R19" t="n">
        <v>2000</v>
      </c>
      <c r="S19" t="n">
        <v>2000</v>
      </c>
      <c r="T19" t="n">
        <v>2000</v>
      </c>
    </row>
    <row r="20">
      <c r="B20" t="inlineStr">
        <is>
          <t>Rent</t>
        </is>
      </c>
      <c r="C20" t="n">
        <v>8200</v>
      </c>
      <c r="D20" t="n">
        <v>8200</v>
      </c>
      <c r="E20" t="n">
        <v>8200</v>
      </c>
      <c r="F20" t="n">
        <v>8200</v>
      </c>
      <c r="G20" t="n">
        <v>8200</v>
      </c>
      <c r="H20" t="n">
        <v>8200</v>
      </c>
      <c r="I20" t="n">
        <v>8200</v>
      </c>
      <c r="J20" t="n">
        <v>8200</v>
      </c>
      <c r="K20" t="n">
        <v>8200</v>
      </c>
      <c r="L20" t="n">
        <v>8200</v>
      </c>
      <c r="M20" t="n">
        <v>8200</v>
      </c>
      <c r="N20" t="n">
        <v>8200</v>
      </c>
      <c r="O20" t="n">
        <v>8200</v>
      </c>
      <c r="P20" t="n">
        <v>8200</v>
      </c>
      <c r="Q20" t="n">
        <v>8200</v>
      </c>
      <c r="R20" t="n">
        <v>8200</v>
      </c>
      <c r="S20" t="n">
        <v>8200</v>
      </c>
      <c r="T20" t="n">
        <v>8200</v>
      </c>
    </row>
    <row r="21">
      <c r="B21" t="inlineStr">
        <is>
          <t>Software &amp; SaaS</t>
        </is>
      </c>
      <c r="C21" t="n">
        <v>7400</v>
      </c>
      <c r="D21" t="n">
        <v>7400</v>
      </c>
      <c r="E21" t="n">
        <v>7400</v>
      </c>
      <c r="F21" t="n">
        <v>7400</v>
      </c>
      <c r="G21" t="n">
        <v>7400</v>
      </c>
      <c r="H21" t="n">
        <v>7400</v>
      </c>
      <c r="I21" t="n">
        <v>7400</v>
      </c>
      <c r="J21" t="n">
        <v>7400</v>
      </c>
      <c r="K21" t="n">
        <v>7400</v>
      </c>
      <c r="L21" t="n">
        <v>7400</v>
      </c>
      <c r="M21" t="n">
        <v>7400</v>
      </c>
      <c r="N21" t="n">
        <v>7400</v>
      </c>
      <c r="O21" t="n">
        <v>7400</v>
      </c>
      <c r="P21" t="n">
        <v>7400</v>
      </c>
      <c r="Q21" t="n">
        <v>7400</v>
      </c>
      <c r="R21" t="n">
        <v>7400</v>
      </c>
      <c r="S21" t="n">
        <v>7400</v>
      </c>
      <c r="T21" t="n">
        <v>7400</v>
      </c>
    </row>
    <row r="22">
      <c r="B22" t="inlineStr">
        <is>
          <t>Insurance</t>
        </is>
      </c>
      <c r="C22" t="n">
        <v>2600</v>
      </c>
      <c r="D22" t="n">
        <v>2600</v>
      </c>
      <c r="E22" t="n">
        <v>2600</v>
      </c>
      <c r="F22" t="n">
        <v>2600</v>
      </c>
      <c r="G22" t="n">
        <v>2600</v>
      </c>
      <c r="H22" t="n">
        <v>2600</v>
      </c>
      <c r="I22" t="n">
        <v>2600</v>
      </c>
      <c r="J22" t="n">
        <v>2600</v>
      </c>
      <c r="K22" t="n">
        <v>2600</v>
      </c>
      <c r="L22" t="n">
        <v>2600</v>
      </c>
      <c r="M22" t="n">
        <v>2600</v>
      </c>
      <c r="N22" t="n">
        <v>2600</v>
      </c>
      <c r="O22" t="n">
        <v>2600</v>
      </c>
      <c r="P22" t="n">
        <v>2600</v>
      </c>
      <c r="Q22" t="n">
        <v>2600</v>
      </c>
      <c r="R22" t="n">
        <v>2600</v>
      </c>
      <c r="S22" t="n">
        <v>2600</v>
      </c>
      <c r="T22" t="n">
        <v>2600</v>
      </c>
    </row>
    <row r="23">
      <c r="B23" t="inlineStr">
        <is>
          <t>Operations Payroll</t>
        </is>
      </c>
    </row>
    <row r="24">
      <c r="B24" t="inlineStr">
        <is>
          <t>Operations - Payroll</t>
        </is>
      </c>
      <c r="C24" t="n">
        <v>58000</v>
      </c>
      <c r="D24" t="n">
        <v>58000</v>
      </c>
      <c r="E24" t="n">
        <v>58000</v>
      </c>
      <c r="F24" t="n">
        <v>58000</v>
      </c>
      <c r="G24" t="n">
        <v>58000</v>
      </c>
      <c r="H24" t="n">
        <v>58000</v>
      </c>
      <c r="I24" t="n">
        <v>58000</v>
      </c>
      <c r="J24" t="n">
        <v>58000</v>
      </c>
      <c r="K24" t="n">
        <v>58000</v>
      </c>
      <c r="L24" t="n">
        <v>58000</v>
      </c>
      <c r="M24" t="n">
        <v>58000</v>
      </c>
      <c r="N24" t="n">
        <v>58000</v>
      </c>
      <c r="O24" t="n">
        <v>58000</v>
      </c>
      <c r="P24" t="n">
        <v>58000</v>
      </c>
      <c r="Q24" t="n">
        <v>58000</v>
      </c>
      <c r="R24" t="n">
        <v>58000</v>
      </c>
      <c r="S24" t="n">
        <v>58000</v>
      </c>
      <c r="T24" t="n">
        <v>58000</v>
      </c>
    </row>
    <row r="25">
      <c r="B25" t="inlineStr">
        <is>
          <t>Operations - Payroll Taxes</t>
        </is>
      </c>
      <c r="C25" t="n">
        <v>4650</v>
      </c>
      <c r="D25" t="n">
        <v>4650</v>
      </c>
      <c r="E25" t="n">
        <v>4650</v>
      </c>
      <c r="F25" t="n">
        <v>4650</v>
      </c>
      <c r="G25" t="n">
        <v>4650</v>
      </c>
      <c r="H25" t="n">
        <v>4650</v>
      </c>
      <c r="I25" t="n">
        <v>4650</v>
      </c>
      <c r="J25" t="n">
        <v>4650</v>
      </c>
      <c r="K25" t="n">
        <v>4650</v>
      </c>
      <c r="L25" t="n">
        <v>4650</v>
      </c>
      <c r="M25" t="n">
        <v>4650</v>
      </c>
      <c r="N25" t="n">
        <v>4650</v>
      </c>
      <c r="O25" t="n">
        <v>4650</v>
      </c>
      <c r="P25" t="n">
        <v>4650</v>
      </c>
      <c r="Q25" t="n">
        <v>4650</v>
      </c>
      <c r="R25" t="n">
        <v>4650</v>
      </c>
      <c r="S25" t="n">
        <v>4650</v>
      </c>
      <c r="T25" t="n">
        <v>4650</v>
      </c>
    </row>
    <row r="26">
      <c r="B26" t="inlineStr">
        <is>
          <t>Total Operations Payroll</t>
        </is>
      </c>
      <c r="C26">
        <f>SUM(C24:C25)</f>
        <v>62650.0</v>
      </c>
      <c r="D26">
        <f>SUM(D24:D25)</f>
        <v>62650.0</v>
      </c>
      <c r="E26">
        <f>SUM(E24:E25)</f>
        <v>62650.0</v>
      </c>
      <c r="F26">
        <f>SUM(F24:F25)</f>
        <v>62650.0</v>
      </c>
      <c r="G26">
        <f>SUM(G24:G25)</f>
        <v>62650.0</v>
      </c>
      <c r="H26">
        <f>SUM(H24:H25)</f>
        <v>62650.0</v>
      </c>
      <c r="I26">
        <f>SUM(I24:I25)</f>
        <v>62650.0</v>
      </c>
      <c r="J26">
        <f>SUM(J24:J25)</f>
        <v>62650.0</v>
      </c>
      <c r="K26">
        <f>SUM(K24:K25)</f>
        <v>62650.0</v>
      </c>
      <c r="L26">
        <f>SUM(L24:L25)</f>
        <v>62650.0</v>
      </c>
      <c r="M26">
        <f>SUM(M24:M25)</f>
        <v>62650.0</v>
      </c>
      <c r="N26">
        <f>SUM(N24:N25)</f>
        <v>62650.0</v>
      </c>
      <c r="O26">
        <f>SUM(O24:O25)</f>
        <v>62650.0</v>
      </c>
      <c r="P26">
        <f>SUM(P24:P25)</f>
        <v>62650.0</v>
      </c>
      <c r="Q26">
        <f>SUM(Q24:Q25)</f>
        <v>62650.0</v>
      </c>
      <c r="R26">
        <f>SUM(R24:R25)</f>
        <v>62650.0</v>
      </c>
      <c r="S26">
        <f>SUM(S24:S25)</f>
        <v>62650.0</v>
      </c>
      <c r="T26">
        <f>SUM(T24:T25)</f>
        <v>62650.0</v>
      </c>
    </row>
    <row r="27">
      <c r="A27" t="inlineStr">
        <is>
          <t>Total Operating Expenses</t>
        </is>
      </c>
      <c r="C27">
        <f>(SUM(C19:C22) + C26)</f>
        <v>116850.0</v>
      </c>
      <c r="D27">
        <f>(SUM(D19:D22) + D26)</f>
        <v>116850.0</v>
      </c>
      <c r="E27">
        <f>(SUM(E19:E22) + E26)</f>
        <v>116850.0</v>
      </c>
      <c r="F27">
        <f>(SUM(F19:F22) + F26)</f>
        <v>116850.0</v>
      </c>
      <c r="G27">
        <f>(SUM(G19:G22) + G26)</f>
        <v>116850.0</v>
      </c>
      <c r="H27">
        <f>(SUM(H19:H22) + H26)</f>
        <v>116850.0</v>
      </c>
      <c r="I27">
        <f>(SUM(I19:I22) + I26)</f>
        <v>82850.0</v>
      </c>
      <c r="J27">
        <f>(SUM(J19:J22) + J26)</f>
        <v>82850.0</v>
      </c>
      <c r="K27">
        <f>(SUM(K19:K22) + K26)</f>
        <v>82850.0</v>
      </c>
      <c r="L27">
        <f>(SUM(L19:L22) + L26)</f>
        <v>82850.0</v>
      </c>
      <c r="M27">
        <f>(SUM(M19:M22) + M26)</f>
        <v>82850.0</v>
      </c>
      <c r="N27">
        <f>(SUM(N19:N22) + N26)</f>
        <v>82850.0</v>
      </c>
      <c r="O27">
        <f>(SUM(O19:O22) + O26)</f>
        <v>82850.0</v>
      </c>
      <c r="P27">
        <f>(SUM(P19:P22) + P26)</f>
        <v>82850.0</v>
      </c>
      <c r="Q27">
        <f>(SUM(Q19:Q22) + Q26)</f>
        <v>82850.0</v>
      </c>
      <c r="R27">
        <f>(SUM(R19:R22) + R26)</f>
        <v>82850.0</v>
      </c>
      <c r="S27">
        <f>(SUM(S19:S22) + S26)</f>
        <v>82850.0</v>
      </c>
      <c r="T27">
        <f>(SUM(T19:T22) + T26)</f>
        <v>82850.0</v>
      </c>
    </row>
    <row r="29">
      <c r="B29" t="inlineStr">
        <is>
          <t>Operating Income</t>
        </is>
      </c>
      <c r="C29">
        <f>(C16 - C27)</f>
        <v>98920.0</v>
      </c>
      <c r="D29">
        <f>(D16 - D27)</f>
        <v>97510.0</v>
      </c>
      <c r="E29">
        <f>(E16 - E27)</f>
        <v>96100.0</v>
      </c>
      <c r="F29">
        <f>(F16 - F27)</f>
        <v>94690.0</v>
      </c>
      <c r="G29">
        <f>(G16 - G27)</f>
        <v>93280.0</v>
      </c>
      <c r="H29">
        <f>(H16 - H27)</f>
        <v>91870.0</v>
      </c>
      <c r="I29">
        <f>(I16 - I27)</f>
        <v>124460.0</v>
      </c>
      <c r="J29">
        <f>(J16 - J27)</f>
        <v>123050.0</v>
      </c>
      <c r="K29">
        <f>(K16 - K27)</f>
        <v>121640.0</v>
      </c>
      <c r="L29">
        <f>(L16 - L27)</f>
        <v>120230.0</v>
      </c>
      <c r="M29">
        <f>(M16 - M27)</f>
        <v>118820.0</v>
      </c>
      <c r="N29">
        <f>(N16 - N27)</f>
        <v>117410.0</v>
      </c>
      <c r="O29">
        <f>(O16 - O27)</f>
        <v>116000.0</v>
      </c>
      <c r="P29">
        <f>(P16 - P27)</f>
        <v>114590.0</v>
      </c>
      <c r="Q29">
        <f>(Q16 - Q27)</f>
        <v>113180.0</v>
      </c>
      <c r="R29">
        <f>(R16 - R27)</f>
        <v>111770.0</v>
      </c>
      <c r="S29">
        <f>(S16 - S27)</f>
        <v>110360.0</v>
      </c>
      <c r="T29">
        <f>(T16 - T27)</f>
        <v>108950.0</v>
      </c>
    </row>
    <row r="31">
      <c r="B31" t="inlineStr">
        <is>
          <t>Net Income</t>
        </is>
      </c>
      <c r="C31">
        <f>(C29 + 0)</f>
        <v>98920.0</v>
      </c>
      <c r="D31">
        <f>(D29 + 0)</f>
        <v>97510.0</v>
      </c>
      <c r="E31">
        <f>(E29 + 0)</f>
        <v>96100.0</v>
      </c>
      <c r="F31">
        <f>(F29 + 0)</f>
        <v>94690.0</v>
      </c>
      <c r="G31">
        <f>(G29 + 0)</f>
        <v>93280.0</v>
      </c>
      <c r="H31">
        <f>(H29 + 0)</f>
        <v>91870.0</v>
      </c>
      <c r="I31">
        <f>(I29 + 0)</f>
        <v>124460.0</v>
      </c>
      <c r="J31">
        <f>(J29 + 0)</f>
        <v>123050.0</v>
      </c>
      <c r="K31">
        <f>(K29 + 0)</f>
        <v>121640.0</v>
      </c>
      <c r="L31">
        <f>(L29 + 0)</f>
        <v>120230.0</v>
      </c>
      <c r="M31">
        <f>(M29 + 0)</f>
        <v>118820.0</v>
      </c>
      <c r="N31">
        <f>(N29 + 0)</f>
        <v>117410.0</v>
      </c>
      <c r="O31">
        <f>(O29 + 0)</f>
        <v>116000.0</v>
      </c>
      <c r="P31">
        <f>(P29 + 0)</f>
        <v>114590.0</v>
      </c>
      <c r="Q31">
        <f>(Q29 + 0)</f>
        <v>113180.0</v>
      </c>
      <c r="R31">
        <f>(R29 + 0)</f>
        <v>111770.0</v>
      </c>
      <c r="S31">
        <f>(S29 + 0)</f>
        <v>110360.0</v>
      </c>
      <c r="T31">
        <f>(T29 + 0)</f>
        <v>108950.0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2026-10-11T07:21:20Z</dcterms:created>
  <dcterms:modified xsi:type="dcterms:W3CDTF">2026-10-11T07:21:20Z</dcterms:modified>
</cp:coreProperties>
</file>