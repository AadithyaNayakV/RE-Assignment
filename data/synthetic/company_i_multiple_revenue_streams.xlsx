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SYNTHETIC TEST DATA</t>
        </is>
      </c>
    </row>
    <row r="2">
      <c r="A2" t="inlineStr">
        <is>
          <t>Company I (SYNTHETIC)</t>
        </is>
      </c>
    </row>
    <row r="3">
      <c r="A3" t="inlineStr">
        <is>
          <t>Scenario: six revenue streams and two subtotal groups</t>
        </is>
      </c>
    </row>
    <row r="4">
      <c r="A4" t="inlineStr">
        <is>
          <t>For the month ended Jun 2026</t>
        </is>
      </c>
    </row>
    <row r="5">
      <c r="B5" t="inlineStr">
        <is>
          <t>Account</t>
        </is>
      </c>
      <c r="C5" t="inlineStr">
        <is>
          <t>Jun 2026</t>
        </is>
      </c>
      <c r="D5" t="inlineStr">
        <is>
          <t>May 2026</t>
        </is>
      </c>
      <c r="E5" t="inlineStr">
        <is>
          <t>Apr 2026</t>
        </is>
      </c>
      <c r="F5" t="inlineStr">
        <is>
          <t>Mar 2026</t>
        </is>
      </c>
      <c r="G5" t="inlineStr">
        <is>
          <t>Feb 2026</t>
        </is>
      </c>
      <c r="H5" t="inlineStr">
        <is>
          <t>Jan 2026</t>
        </is>
      </c>
      <c r="I5" t="inlineStr">
        <is>
          <t>Dec 2025</t>
        </is>
      </c>
      <c r="J5" t="inlineStr">
        <is>
          <t>Nov 2025</t>
        </is>
      </c>
      <c r="K5" t="inlineStr">
        <is>
          <t>Oct 2025</t>
        </is>
      </c>
      <c r="L5" t="inlineStr">
        <is>
          <t>Sep 2025</t>
        </is>
      </c>
      <c r="M5" t="inlineStr">
        <is>
          <t>Aug 2025</t>
        </is>
      </c>
      <c r="N5" t="inlineStr">
        <is>
          <t>Jul 2025</t>
        </is>
      </c>
      <c r="O5" t="inlineStr">
        <is>
          <t>Jun 2025</t>
        </is>
      </c>
      <c r="P5" t="inlineStr">
        <is>
          <t>May 2025</t>
        </is>
      </c>
      <c r="Q5" t="inlineStr">
        <is>
          <t>Apr 2025</t>
        </is>
      </c>
      <c r="R5" t="inlineStr">
        <is>
          <t>Mar 2025</t>
        </is>
      </c>
      <c r="S5" t="inlineStr">
        <is>
          <t>Feb 2025</t>
        </is>
      </c>
      <c r="T5" t="inlineStr">
        <is>
          <t>Jan 2025</t>
        </is>
      </c>
    </row>
    <row r="6">
      <c r="A6" t="inlineStr">
        <is>
          <t>Income</t>
        </is>
      </c>
    </row>
    <row r="7">
      <c r="B7" t="inlineStr">
        <is>
          <t>Platform Revenue</t>
        </is>
      </c>
      <c r="C7" t="n">
        <v>98200</v>
      </c>
      <c r="D7" t="n">
        <v>97600</v>
      </c>
      <c r="E7" t="n">
        <v>97000</v>
      </c>
      <c r="F7" t="n">
        <v>96400</v>
      </c>
      <c r="G7" t="n">
        <v>95800</v>
      </c>
      <c r="H7" t="n">
        <v>95200</v>
      </c>
      <c r="I7" t="n">
        <v>94600</v>
      </c>
      <c r="J7" t="n">
        <v>94000</v>
      </c>
      <c r="K7" t="n">
        <v>93400</v>
      </c>
      <c r="L7" t="n">
        <v>92800</v>
      </c>
      <c r="M7" t="n">
        <v>92200</v>
      </c>
      <c r="N7" t="n">
        <v>91600</v>
      </c>
      <c r="O7" t="n">
        <v>91000</v>
      </c>
      <c r="P7" t="n">
        <v>90400</v>
      </c>
      <c r="Q7" t="n">
        <v>89800</v>
      </c>
      <c r="R7" t="n">
        <v>89200</v>
      </c>
      <c r="S7" t="n">
        <v>88600</v>
      </c>
      <c r="T7" t="n">
        <v>88000</v>
      </c>
    </row>
    <row r="8">
      <c r="B8" t="inlineStr">
        <is>
          <t>Usage Fees</t>
        </is>
      </c>
      <c r="C8" t="n">
        <v>78450</v>
      </c>
      <c r="D8" t="n">
        <v>77600</v>
      </c>
      <c r="E8" t="n">
        <v>76750</v>
      </c>
      <c r="F8" t="n">
        <v>75900</v>
      </c>
      <c r="G8" t="n">
        <v>75050</v>
      </c>
      <c r="H8" t="n">
        <v>74200</v>
      </c>
      <c r="I8" t="n">
        <v>73350</v>
      </c>
      <c r="J8" t="n">
        <v>72500</v>
      </c>
      <c r="K8" t="n">
        <v>71650</v>
      </c>
      <c r="L8" t="n">
        <v>70800</v>
      </c>
      <c r="M8" t="n">
        <v>69950</v>
      </c>
      <c r="N8" t="n">
        <v>69100</v>
      </c>
      <c r="O8" t="n">
        <v>68250</v>
      </c>
      <c r="P8" t="n">
        <v>67400</v>
      </c>
      <c r="Q8" t="n">
        <v>66550</v>
      </c>
      <c r="R8" t="n">
        <v>65700</v>
      </c>
      <c r="S8" t="n">
        <v>64850</v>
      </c>
      <c r="T8" t="n">
        <v>64000</v>
      </c>
    </row>
    <row r="9">
      <c r="B9" t="inlineStr">
        <is>
          <t>Professional Services</t>
        </is>
      </c>
      <c r="C9" t="n">
        <v>20960</v>
      </c>
      <c r="D9" t="n">
        <v>21080</v>
      </c>
      <c r="E9" t="n">
        <v>21200</v>
      </c>
      <c r="F9" t="n">
        <v>21320</v>
      </c>
      <c r="G9" t="n">
        <v>21440</v>
      </c>
      <c r="H9" t="n">
        <v>21560</v>
      </c>
      <c r="I9" t="n">
        <v>21680</v>
      </c>
      <c r="J9" t="n">
        <v>21800</v>
      </c>
      <c r="K9" t="n">
        <v>21920</v>
      </c>
      <c r="L9" t="n">
        <v>22040</v>
      </c>
      <c r="M9" t="n">
        <v>22160</v>
      </c>
      <c r="N9" t="n">
        <v>22280</v>
      </c>
      <c r="O9" t="n">
        <v>22400</v>
      </c>
      <c r="P9" t="n">
        <v>22520</v>
      </c>
      <c r="Q9" t="n">
        <v>22640</v>
      </c>
      <c r="R9" t="n">
        <v>22760</v>
      </c>
      <c r="S9" t="n">
        <v>22880</v>
      </c>
      <c r="T9" t="n">
        <v>23000</v>
      </c>
    </row>
    <row r="10">
      <c r="B10" t="inlineStr">
        <is>
          <t>Partnership Income</t>
        </is>
      </c>
      <c r="C10" t="n">
        <v>11476</v>
      </c>
      <c r="D10" t="n">
        <v>7448</v>
      </c>
      <c r="E10" t="n">
        <v>7420</v>
      </c>
      <c r="F10" t="n">
        <v>11392</v>
      </c>
      <c r="G10" t="n">
        <v>7364</v>
      </c>
      <c r="H10" t="n">
        <v>7336</v>
      </c>
      <c r="I10" t="n">
        <v>11308</v>
      </c>
      <c r="J10" t="n">
        <v>7280</v>
      </c>
      <c r="K10" t="n">
        <v>7252</v>
      </c>
      <c r="L10" t="n">
        <v>11224</v>
      </c>
      <c r="M10" t="n">
        <v>7196</v>
      </c>
      <c r="N10" t="n">
        <v>7168</v>
      </c>
      <c r="O10" t="n">
        <v>11140</v>
      </c>
      <c r="P10" t="n">
        <v>7112</v>
      </c>
      <c r="Q10" t="n">
        <v>7084</v>
      </c>
      <c r="R10" t="n">
        <v>11056</v>
      </c>
      <c r="S10" t="n">
        <v>7028</v>
      </c>
      <c r="T10" t="n">
        <v>7000</v>
      </c>
    </row>
    <row r="11">
      <c r="B11" t="inlineStr">
        <is>
          <t>White-Label</t>
        </is>
      </c>
      <c r="C11" t="n">
        <v>5600</v>
      </c>
      <c r="D11" t="n">
        <v>5600</v>
      </c>
      <c r="E11" t="n">
        <v>5600</v>
      </c>
      <c r="F11" t="n">
        <v>5600</v>
      </c>
      <c r="G11" t="n">
        <v>5600</v>
      </c>
      <c r="H11" t="n">
        <v>5600</v>
      </c>
      <c r="I11" t="n">
        <v>5600</v>
      </c>
      <c r="J11" t="n">
        <v>5600</v>
      </c>
      <c r="K11" t="n">
        <v>5600</v>
      </c>
      <c r="L11" t="n">
        <v>5600</v>
      </c>
      <c r="M11" t="n">
        <v>5600</v>
      </c>
      <c r="N11" t="n">
        <v>5600</v>
      </c>
      <c r="O11" t="n">
        <v>5600</v>
      </c>
      <c r="P11" t="n">
        <v>5600</v>
      </c>
      <c r="Q11" t="n">
        <v>5600</v>
      </c>
      <c r="R11" t="n">
        <v>5600</v>
      </c>
      <c r="S11" t="n">
        <v>5600</v>
      </c>
      <c r="T11" t="n">
        <v>5600</v>
      </c>
    </row>
    <row r="12">
      <c r="B12" t="inlineStr">
        <is>
          <t>Training Revenue</t>
        </is>
      </c>
      <c r="C12" t="n">
        <v>6550</v>
      </c>
      <c r="D12" t="n">
        <v>6400</v>
      </c>
      <c r="E12" t="n">
        <v>6250</v>
      </c>
      <c r="F12" t="n">
        <v>6100</v>
      </c>
      <c r="G12" t="n">
        <v>5950</v>
      </c>
      <c r="H12" t="n">
        <v>5800</v>
      </c>
      <c r="I12" t="n">
        <v>5650</v>
      </c>
      <c r="J12" t="n">
        <v>5500</v>
      </c>
      <c r="K12" t="n">
        <v>5350</v>
      </c>
      <c r="L12" t="n">
        <v>5200</v>
      </c>
      <c r="M12" t="n">
        <v>5050</v>
      </c>
      <c r="N12" t="n">
        <v>4900</v>
      </c>
      <c r="O12" t="n">
        <v>4750</v>
      </c>
      <c r="P12" t="n">
        <v>4600</v>
      </c>
      <c r="Q12" t="n">
        <v>4450</v>
      </c>
      <c r="R12" t="n">
        <v>4300</v>
      </c>
      <c r="S12" t="n">
        <v>4150</v>
      </c>
      <c r="T12" t="n">
        <v>4000</v>
      </c>
    </row>
    <row r="13">
      <c r="A13" t="inlineStr">
        <is>
          <t>Total Income</t>
        </is>
      </c>
      <c r="C13">
        <f>SUM(C7:C12)</f>
        <v>221236.0</v>
      </c>
      <c r="D13">
        <f>SUM(D7:D12)</f>
        <v>215728.0</v>
      </c>
      <c r="E13">
        <f>SUM(E7:E12)</f>
        <v>214220.0</v>
      </c>
      <c r="F13">
        <f>SUM(F7:F12)</f>
        <v>216712.0</v>
      </c>
      <c r="G13">
        <f>SUM(G7:G12)</f>
        <v>211204.0</v>
      </c>
      <c r="H13">
        <f>SUM(H7:H12)</f>
        <v>209696.0</v>
      </c>
      <c r="I13">
        <f>SUM(I7:I12)</f>
        <v>212188.0</v>
      </c>
      <c r="J13">
        <f>SUM(J7:J12)</f>
        <v>206680.0</v>
      </c>
      <c r="K13">
        <f>SUM(K7:K12)</f>
        <v>205172.0</v>
      </c>
      <c r="L13">
        <f>SUM(L7:L12)</f>
        <v>207664.0</v>
      </c>
      <c r="M13">
        <f>SUM(M7:M12)</f>
        <v>202156.0</v>
      </c>
      <c r="N13">
        <f>SUM(N7:N12)</f>
        <v>200648.0</v>
      </c>
      <c r="O13">
        <f>SUM(O7:O12)</f>
        <v>203140.0</v>
      </c>
      <c r="P13">
        <f>SUM(P7:P12)</f>
        <v>197632.0</v>
      </c>
      <c r="Q13">
        <f>SUM(Q7:Q12)</f>
        <v>196124.0</v>
      </c>
      <c r="R13">
        <f>SUM(R7:R12)</f>
        <v>198616.0</v>
      </c>
      <c r="S13">
        <f>SUM(S7:S12)</f>
        <v>193108.0</v>
      </c>
      <c r="T13">
        <f>SUM(T7:T12)</f>
        <v>191600.0</v>
      </c>
    </row>
    <row r="15">
      <c r="A15" t="inlineStr">
        <is>
          <t>Cost of Goods Sold</t>
        </is>
      </c>
    </row>
    <row r="16">
      <c r="B16" t="inlineStr">
        <is>
          <t>Hosting</t>
        </is>
      </c>
      <c r="C16" t="n">
        <v>13210</v>
      </c>
      <c r="D16" t="n">
        <v>13080</v>
      </c>
      <c r="E16" t="n">
        <v>12950</v>
      </c>
      <c r="F16" t="n">
        <v>12820</v>
      </c>
      <c r="G16" t="n">
        <v>12690</v>
      </c>
      <c r="H16" t="n">
        <v>12560</v>
      </c>
      <c r="I16" t="n">
        <v>12430</v>
      </c>
      <c r="J16" t="n">
        <v>12300</v>
      </c>
      <c r="K16" t="n">
        <v>12170</v>
      </c>
      <c r="L16" t="n">
        <v>12040</v>
      </c>
      <c r="M16" t="n">
        <v>11910</v>
      </c>
      <c r="N16" t="n">
        <v>11780</v>
      </c>
      <c r="O16" t="n">
        <v>11650</v>
      </c>
      <c r="P16" t="n">
        <v>11520</v>
      </c>
      <c r="Q16" t="n">
        <v>11390</v>
      </c>
      <c r="R16" t="n">
        <v>11260</v>
      </c>
      <c r="S16" t="n">
        <v>11130</v>
      </c>
      <c r="T16" t="n">
        <v>11000</v>
      </c>
    </row>
    <row r="17">
      <c r="B17" t="inlineStr">
        <is>
          <t>Referral Fees</t>
        </is>
      </c>
      <c r="C17" t="n">
        <v>4035</v>
      </c>
      <c r="D17" t="n">
        <v>3980</v>
      </c>
      <c r="E17" t="n">
        <v>3925</v>
      </c>
      <c r="F17" t="n">
        <v>3870</v>
      </c>
      <c r="G17" t="n">
        <v>3815</v>
      </c>
      <c r="H17" t="n">
        <v>3760</v>
      </c>
      <c r="I17" t="n">
        <v>3705</v>
      </c>
      <c r="J17" t="n">
        <v>3650</v>
      </c>
      <c r="K17" t="n">
        <v>3595</v>
      </c>
      <c r="L17" t="n">
        <v>3540</v>
      </c>
      <c r="M17" t="n">
        <v>3485</v>
      </c>
      <c r="N17" t="n">
        <v>3430</v>
      </c>
      <c r="O17" t="n">
        <v>3375</v>
      </c>
      <c r="P17" t="n">
        <v>3320</v>
      </c>
      <c r="Q17" t="n">
        <v>3265</v>
      </c>
      <c r="R17" t="n">
        <v>3210</v>
      </c>
      <c r="S17" t="n">
        <v>3155</v>
      </c>
      <c r="T17" t="n">
        <v>3100</v>
      </c>
    </row>
    <row r="18">
      <c r="B18" t="inlineStr">
        <is>
          <t>Support Payroll</t>
        </is>
      </c>
      <c r="C18" t="n">
        <v>26000</v>
      </c>
      <c r="D18" t="n">
        <v>26000</v>
      </c>
      <c r="E18" t="n">
        <v>26000</v>
      </c>
      <c r="F18" t="n">
        <v>26000</v>
      </c>
      <c r="G18" t="n">
        <v>26000</v>
      </c>
      <c r="H18" t="n">
        <v>26000</v>
      </c>
      <c r="I18" t="n">
        <v>26000</v>
      </c>
      <c r="J18" t="n">
        <v>26000</v>
      </c>
      <c r="K18" t="n">
        <v>26000</v>
      </c>
      <c r="L18" t="n">
        <v>26000</v>
      </c>
      <c r="M18" t="n">
        <v>26000</v>
      </c>
      <c r="N18" t="n">
        <v>26000</v>
      </c>
      <c r="O18" t="n">
        <v>26000</v>
      </c>
      <c r="P18" t="n">
        <v>26000</v>
      </c>
      <c r="Q18" t="n">
        <v>26000</v>
      </c>
      <c r="R18" t="n">
        <v>26000</v>
      </c>
      <c r="S18" t="n">
        <v>26000</v>
      </c>
      <c r="T18" t="n">
        <v>26000</v>
      </c>
    </row>
    <row r="19">
      <c r="B19" t="inlineStr">
        <is>
          <t>Payment Processing</t>
        </is>
      </c>
      <c r="C19" t="n">
        <v>3580</v>
      </c>
      <c r="D19" t="n">
        <v>3540</v>
      </c>
      <c r="E19" t="n">
        <v>3500</v>
      </c>
      <c r="F19" t="n">
        <v>3460</v>
      </c>
      <c r="G19" t="n">
        <v>3420</v>
      </c>
      <c r="H19" t="n">
        <v>3380</v>
      </c>
      <c r="I19" t="n">
        <v>3340</v>
      </c>
      <c r="J19" t="n">
        <v>3300</v>
      </c>
      <c r="K19" t="n">
        <v>3260</v>
      </c>
      <c r="L19" t="n">
        <v>3220</v>
      </c>
      <c r="M19" t="n">
        <v>3180</v>
      </c>
      <c r="N19" t="n">
        <v>3140</v>
      </c>
      <c r="O19" t="n">
        <v>3100</v>
      </c>
      <c r="P19" t="n">
        <v>3060</v>
      </c>
      <c r="Q19" t="n">
        <v>3020</v>
      </c>
      <c r="R19" t="n">
        <v>2980</v>
      </c>
      <c r="S19" t="n">
        <v>2940</v>
      </c>
      <c r="T19" t="n">
        <v>2900</v>
      </c>
    </row>
    <row r="20">
      <c r="A20" t="inlineStr">
        <is>
          <t>Total Cost of Goods Sold</t>
        </is>
      </c>
      <c r="C20">
        <f>SUM(C16:C19)</f>
        <v>46825.0</v>
      </c>
      <c r="D20">
        <f>SUM(D16:D19)</f>
        <v>46600.0</v>
      </c>
      <c r="E20">
        <f>SUM(E16:E19)</f>
        <v>46375.0</v>
      </c>
      <c r="F20">
        <f>SUM(F16:F19)</f>
        <v>46150.0</v>
      </c>
      <c r="G20">
        <f>SUM(G16:G19)</f>
        <v>45925.0</v>
      </c>
      <c r="H20">
        <f>SUM(H16:H19)</f>
        <v>45700.0</v>
      </c>
      <c r="I20">
        <f>SUM(I16:I19)</f>
        <v>45475.0</v>
      </c>
      <c r="J20">
        <f>SUM(J16:J19)</f>
        <v>45250.0</v>
      </c>
      <c r="K20">
        <f>SUM(K16:K19)</f>
        <v>45025.0</v>
      </c>
      <c r="L20">
        <f>SUM(L16:L19)</f>
        <v>44800.0</v>
      </c>
      <c r="M20">
        <f>SUM(M16:M19)</f>
        <v>44575.0</v>
      </c>
      <c r="N20">
        <f>SUM(N16:N19)</f>
        <v>44350.0</v>
      </c>
      <c r="O20">
        <f>SUM(O16:O19)</f>
        <v>44125.0</v>
      </c>
      <c r="P20">
        <f>SUM(P16:P19)</f>
        <v>43900.0</v>
      </c>
      <c r="Q20">
        <f>SUM(Q16:Q19)</f>
        <v>43675.0</v>
      </c>
      <c r="R20">
        <f>SUM(R16:R19)</f>
        <v>43450.0</v>
      </c>
      <c r="S20">
        <f>SUM(S16:S19)</f>
        <v>43225.0</v>
      </c>
      <c r="T20">
        <f>SUM(T16:T19)</f>
        <v>43000.0</v>
      </c>
    </row>
    <row r="22">
      <c r="B22" t="inlineStr">
        <is>
          <t>Gross Profit</t>
        </is>
      </c>
      <c r="C22">
        <f>(C13 - C20)</f>
        <v>174411.0</v>
      </c>
      <c r="D22">
        <f>(D13 - D20)</f>
        <v>169128.0</v>
      </c>
      <c r="E22">
        <f>(E13 - E20)</f>
        <v>167845.0</v>
      </c>
      <c r="F22">
        <f>(F13 - F20)</f>
        <v>170562.0</v>
      </c>
      <c r="G22">
        <f>(G13 - G20)</f>
        <v>165279.0</v>
      </c>
      <c r="H22">
        <f>(H13 - H20)</f>
        <v>163996.0</v>
      </c>
      <c r="I22">
        <f>(I13 - I20)</f>
        <v>166713.0</v>
      </c>
      <c r="J22">
        <f>(J13 - J20)</f>
        <v>161430.0</v>
      </c>
      <c r="K22">
        <f>(K13 - K20)</f>
        <v>160147.0</v>
      </c>
      <c r="L22">
        <f>(L13 - L20)</f>
        <v>162864.0</v>
      </c>
      <c r="M22">
        <f>(M13 - M20)</f>
        <v>157581.0</v>
      </c>
      <c r="N22">
        <f>(N13 - N20)</f>
        <v>156298.0</v>
      </c>
      <c r="O22">
        <f>(O13 - O20)</f>
        <v>159015.0</v>
      </c>
      <c r="P22">
        <f>(P13 - P20)</f>
        <v>153732.0</v>
      </c>
      <c r="Q22">
        <f>(Q13 - Q20)</f>
        <v>152449.0</v>
      </c>
      <c r="R22">
        <f>(R13 - R20)</f>
        <v>155166.0</v>
      </c>
      <c r="S22">
        <f>(S13 - S20)</f>
        <v>149883.0</v>
      </c>
      <c r="T22">
        <f>(T13 - T20)</f>
        <v>148600.0</v>
      </c>
    </row>
    <row r="24">
      <c r="A24" t="inlineStr">
        <is>
          <t>Operating Expenses</t>
        </is>
      </c>
    </row>
    <row r="25">
      <c r="B25" t="inlineStr">
        <is>
          <t>Rent</t>
        </is>
      </c>
      <c r="C25" t="n">
        <v>9400</v>
      </c>
      <c r="D25" t="n">
        <v>9400</v>
      </c>
      <c r="E25" t="n">
        <v>9400</v>
      </c>
      <c r="F25" t="n">
        <v>9400</v>
      </c>
      <c r="G25" t="n">
        <v>9400</v>
      </c>
      <c r="H25" t="n">
        <v>9400</v>
      </c>
      <c r="I25" t="n">
        <v>9400</v>
      </c>
      <c r="J25" t="n">
        <v>9400</v>
      </c>
      <c r="K25" t="n">
        <v>9400</v>
      </c>
      <c r="L25" t="n">
        <v>9400</v>
      </c>
      <c r="M25" t="n">
        <v>9400</v>
      </c>
      <c r="N25" t="n">
        <v>9400</v>
      </c>
      <c r="O25" t="n">
        <v>9400</v>
      </c>
      <c r="P25" t="n">
        <v>9400</v>
      </c>
      <c r="Q25" t="n">
        <v>9400</v>
      </c>
      <c r="R25" t="n">
        <v>9400</v>
      </c>
      <c r="S25" t="n">
        <v>9400</v>
      </c>
      <c r="T25" t="n">
        <v>9400</v>
      </c>
    </row>
    <row r="26">
      <c r="B26" t="inlineStr">
        <is>
          <t>Accounting &amp; Tax</t>
        </is>
      </c>
      <c r="C26" t="n">
        <v>5100</v>
      </c>
      <c r="D26" t="n">
        <v>5100</v>
      </c>
      <c r="E26" t="n">
        <v>5100</v>
      </c>
      <c r="F26" t="n">
        <v>5100</v>
      </c>
      <c r="G26" t="n">
        <v>5100</v>
      </c>
      <c r="H26" t="n">
        <v>5100</v>
      </c>
      <c r="I26" t="n">
        <v>5100</v>
      </c>
      <c r="J26" t="n">
        <v>5100</v>
      </c>
      <c r="K26" t="n">
        <v>5100</v>
      </c>
      <c r="L26" t="n">
        <v>5100</v>
      </c>
      <c r="M26" t="n">
        <v>5100</v>
      </c>
      <c r="N26" t="n">
        <v>5100</v>
      </c>
      <c r="O26" t="n">
        <v>5100</v>
      </c>
      <c r="P26" t="n">
        <v>5100</v>
      </c>
      <c r="Q26" t="n">
        <v>5100</v>
      </c>
      <c r="R26" t="n">
        <v>5100</v>
      </c>
      <c r="S26" t="n">
        <v>5100</v>
      </c>
      <c r="T26" t="n">
        <v>5100</v>
      </c>
    </row>
    <row r="27">
      <c r="B27" t="inlineStr">
        <is>
          <t>Legal Expenses</t>
        </is>
      </c>
      <c r="C27" t="n">
        <v>1900</v>
      </c>
      <c r="D27" t="n">
        <v>1900</v>
      </c>
      <c r="E27" t="n">
        <v>1900</v>
      </c>
      <c r="F27" t="n">
        <v>1900</v>
      </c>
      <c r="G27" t="n">
        <v>1900</v>
      </c>
      <c r="H27" t="n">
        <v>1900</v>
      </c>
      <c r="I27" t="n">
        <v>1900</v>
      </c>
      <c r="J27" t="n">
        <v>1900</v>
      </c>
      <c r="K27" t="n">
        <v>1900</v>
      </c>
      <c r="L27" t="n">
        <v>1900</v>
      </c>
      <c r="M27" t="n">
        <v>1900</v>
      </c>
      <c r="N27" t="n">
        <v>1900</v>
      </c>
      <c r="O27" t="n">
        <v>1900</v>
      </c>
      <c r="P27" t="n">
        <v>1900</v>
      </c>
      <c r="Q27" t="n">
        <v>1900</v>
      </c>
      <c r="R27" t="n">
        <v>1900</v>
      </c>
      <c r="S27" t="n">
        <v>1900</v>
      </c>
      <c r="T27" t="n">
        <v>1900</v>
      </c>
    </row>
    <row r="28">
      <c r="B28" t="inlineStr">
        <is>
          <t>Insurance</t>
        </is>
      </c>
      <c r="C28" t="n">
        <v>3300</v>
      </c>
      <c r="D28" t="n">
        <v>3300</v>
      </c>
      <c r="E28" t="n">
        <v>3300</v>
      </c>
      <c r="F28" t="n">
        <v>3300</v>
      </c>
      <c r="G28" t="n">
        <v>3300</v>
      </c>
      <c r="H28" t="n">
        <v>3300</v>
      </c>
      <c r="I28" t="n">
        <v>3300</v>
      </c>
      <c r="J28" t="n">
        <v>3300</v>
      </c>
      <c r="K28" t="n">
        <v>3300</v>
      </c>
      <c r="L28" t="n">
        <v>3300</v>
      </c>
      <c r="M28" t="n">
        <v>3300</v>
      </c>
      <c r="N28" t="n">
        <v>3300</v>
      </c>
      <c r="O28" t="n">
        <v>3300</v>
      </c>
      <c r="P28" t="n">
        <v>3300</v>
      </c>
      <c r="Q28" t="n">
        <v>3300</v>
      </c>
      <c r="R28" t="n">
        <v>3300</v>
      </c>
      <c r="S28" t="n">
        <v>3300</v>
      </c>
      <c r="T28" t="n">
        <v>3300</v>
      </c>
    </row>
    <row r="29">
      <c r="B29" t="inlineStr">
        <is>
          <t>Travel</t>
        </is>
      </c>
      <c r="C29" t="n">
        <v>4190</v>
      </c>
      <c r="D29" t="n">
        <v>4120</v>
      </c>
      <c r="E29" t="n">
        <v>4050</v>
      </c>
      <c r="F29" t="n">
        <v>3980</v>
      </c>
      <c r="G29" t="n">
        <v>3910</v>
      </c>
      <c r="H29" t="n">
        <v>3840</v>
      </c>
      <c r="I29" t="n">
        <v>3770</v>
      </c>
      <c r="J29" t="n">
        <v>3700</v>
      </c>
      <c r="K29" t="n">
        <v>3630</v>
      </c>
      <c r="L29" t="n">
        <v>3560</v>
      </c>
      <c r="M29" t="n">
        <v>3490</v>
      </c>
      <c r="N29" t="n">
        <v>3420</v>
      </c>
      <c r="O29" t="n">
        <v>3350</v>
      </c>
      <c r="P29" t="n">
        <v>3280</v>
      </c>
      <c r="Q29" t="n">
        <v>3210</v>
      </c>
      <c r="R29" t="n">
        <v>3140</v>
      </c>
      <c r="S29" t="n">
        <v>3070</v>
      </c>
      <c r="T29" t="n">
        <v>3000</v>
      </c>
    </row>
    <row r="30">
      <c r="B30" t="inlineStr">
        <is>
          <t>Software &amp; SaaS</t>
        </is>
      </c>
      <c r="C30" t="n">
        <v>10670</v>
      </c>
      <c r="D30" t="n">
        <v>10560</v>
      </c>
      <c r="E30" t="n">
        <v>10450</v>
      </c>
      <c r="F30" t="n">
        <v>10340</v>
      </c>
      <c r="G30" t="n">
        <v>10230</v>
      </c>
      <c r="H30" t="n">
        <v>10120</v>
      </c>
      <c r="I30" t="n">
        <v>10010</v>
      </c>
      <c r="J30" t="n">
        <v>9900</v>
      </c>
      <c r="K30" t="n">
        <v>9790</v>
      </c>
      <c r="L30" t="n">
        <v>9680</v>
      </c>
      <c r="M30" t="n">
        <v>9570</v>
      </c>
      <c r="N30" t="n">
        <v>9460</v>
      </c>
      <c r="O30" t="n">
        <v>9350</v>
      </c>
      <c r="P30" t="n">
        <v>9240</v>
      </c>
      <c r="Q30" t="n">
        <v>9130</v>
      </c>
      <c r="R30" t="n">
        <v>9020</v>
      </c>
      <c r="S30" t="n">
        <v>8910</v>
      </c>
      <c r="T30" t="n">
        <v>8800</v>
      </c>
    </row>
    <row r="31">
      <c r="B31" t="inlineStr">
        <is>
          <t>Depreciation</t>
        </is>
      </c>
      <c r="C31" t="n">
        <v>1250</v>
      </c>
      <c r="D31" t="n">
        <v>1250</v>
      </c>
      <c r="E31" t="n">
        <v>1250</v>
      </c>
      <c r="F31" t="n">
        <v>1250</v>
      </c>
      <c r="G31" t="n">
        <v>1250</v>
      </c>
      <c r="H31" t="n">
        <v>1250</v>
      </c>
      <c r="I31" t="n">
        <v>1250</v>
      </c>
      <c r="J31" t="n">
        <v>1250</v>
      </c>
      <c r="K31" t="n">
        <v>1250</v>
      </c>
      <c r="L31" t="n">
        <v>1250</v>
      </c>
      <c r="M31" t="n">
        <v>1250</v>
      </c>
      <c r="N31" t="n">
        <v>1250</v>
      </c>
      <c r="O31" t="n">
        <v>1250</v>
      </c>
      <c r="P31" t="n">
        <v>1250</v>
      </c>
      <c r="Q31" t="n">
        <v>1250</v>
      </c>
      <c r="R31" t="n">
        <v>1250</v>
      </c>
      <c r="S31" t="n">
        <v>1250</v>
      </c>
      <c r="T31" t="n">
        <v>1250</v>
      </c>
    </row>
    <row r="32">
      <c r="B32" t="inlineStr">
        <is>
          <t>Bank Service Charges</t>
        </is>
      </c>
      <c r="C32" t="n">
        <v>310</v>
      </c>
      <c r="D32" t="n">
        <v>310</v>
      </c>
      <c r="E32" t="n">
        <v>310</v>
      </c>
      <c r="F32" t="n">
        <v>310</v>
      </c>
      <c r="G32" t="n">
        <v>310</v>
      </c>
      <c r="H32" t="n">
        <v>310</v>
      </c>
      <c r="I32" t="n">
        <v>310</v>
      </c>
      <c r="J32" t="n">
        <v>310</v>
      </c>
      <c r="K32" t="n">
        <v>310</v>
      </c>
      <c r="L32" t="n">
        <v>310</v>
      </c>
      <c r="M32" t="n">
        <v>310</v>
      </c>
      <c r="N32" t="n">
        <v>310</v>
      </c>
      <c r="O32" t="n">
        <v>310</v>
      </c>
      <c r="P32" t="n">
        <v>310</v>
      </c>
      <c r="Q32" t="n">
        <v>310</v>
      </c>
      <c r="R32" t="n">
        <v>310</v>
      </c>
      <c r="S32" t="n">
        <v>310</v>
      </c>
      <c r="T32" t="n">
        <v>310</v>
      </c>
    </row>
    <row r="33">
      <c r="B33" t="inlineStr">
        <is>
          <t>S &amp; M Payroll</t>
        </is>
      </c>
    </row>
    <row r="34">
      <c r="B34" t="inlineStr">
        <is>
          <t>Sales - Payroll</t>
        </is>
      </c>
      <c r="C34" t="n">
        <v>56950</v>
      </c>
      <c r="D34" t="n">
        <v>56600</v>
      </c>
      <c r="E34" t="n">
        <v>56250</v>
      </c>
      <c r="F34" t="n">
        <v>55900</v>
      </c>
      <c r="G34" t="n">
        <v>55550</v>
      </c>
      <c r="H34" t="n">
        <v>55200</v>
      </c>
      <c r="I34" t="n">
        <v>54850</v>
      </c>
      <c r="J34" t="n">
        <v>54500</v>
      </c>
      <c r="K34" t="n">
        <v>54150</v>
      </c>
      <c r="L34" t="n">
        <v>53800</v>
      </c>
      <c r="M34" t="n">
        <v>53450</v>
      </c>
      <c r="N34" t="n">
        <v>53100</v>
      </c>
      <c r="O34" t="n">
        <v>52750</v>
      </c>
      <c r="P34" t="n">
        <v>52400</v>
      </c>
      <c r="Q34" t="n">
        <v>52050</v>
      </c>
      <c r="R34" t="n">
        <v>51700</v>
      </c>
      <c r="S34" t="n">
        <v>51350</v>
      </c>
      <c r="T34" t="n">
        <v>51000</v>
      </c>
    </row>
    <row r="35">
      <c r="B35" t="inlineStr">
        <is>
          <t>Sales - Payroll Taxes</t>
        </is>
      </c>
      <c r="C35" t="n">
        <v>4556</v>
      </c>
      <c r="D35" t="n">
        <v>4528</v>
      </c>
      <c r="E35" t="n">
        <v>4500</v>
      </c>
      <c r="F35" t="n">
        <v>4472</v>
      </c>
      <c r="G35" t="n">
        <v>4444</v>
      </c>
      <c r="H35" t="n">
        <v>4416</v>
      </c>
      <c r="I35" t="n">
        <v>4388</v>
      </c>
      <c r="J35" t="n">
        <v>4360</v>
      </c>
      <c r="K35" t="n">
        <v>4332</v>
      </c>
      <c r="L35" t="n">
        <v>4304</v>
      </c>
      <c r="M35" t="n">
        <v>4276</v>
      </c>
      <c r="N35" t="n">
        <v>4248</v>
      </c>
      <c r="O35" t="n">
        <v>4220</v>
      </c>
      <c r="P35" t="n">
        <v>4192</v>
      </c>
      <c r="Q35" t="n">
        <v>4164</v>
      </c>
      <c r="R35" t="n">
        <v>4136</v>
      </c>
      <c r="S35" t="n">
        <v>4108</v>
      </c>
      <c r="T35" t="n">
        <v>4080</v>
      </c>
    </row>
    <row r="36">
      <c r="B36" t="inlineStr">
        <is>
          <t>Marketing - Payroll</t>
        </is>
      </c>
      <c r="C36" t="n">
        <v>28000</v>
      </c>
      <c r="D36" t="n">
        <v>28000</v>
      </c>
      <c r="E36" t="n">
        <v>28000</v>
      </c>
      <c r="F36" t="n">
        <v>28000</v>
      </c>
      <c r="G36" t="n">
        <v>28000</v>
      </c>
      <c r="H36" t="n">
        <v>28000</v>
      </c>
      <c r="I36" t="n">
        <v>28000</v>
      </c>
      <c r="J36" t="n">
        <v>28000</v>
      </c>
      <c r="K36" t="n">
        <v>28000</v>
      </c>
      <c r="L36" t="n">
        <v>28000</v>
      </c>
      <c r="M36" t="n">
        <v>28000</v>
      </c>
      <c r="N36" t="n">
        <v>28000</v>
      </c>
      <c r="O36" t="n">
        <v>28000</v>
      </c>
      <c r="P36" t="n">
        <v>28000</v>
      </c>
      <c r="Q36" t="n">
        <v>28000</v>
      </c>
      <c r="R36" t="n">
        <v>28000</v>
      </c>
      <c r="S36" t="n">
        <v>28000</v>
      </c>
      <c r="T36" t="n">
        <v>28000</v>
      </c>
    </row>
    <row r="37">
      <c r="B37" t="inlineStr">
        <is>
          <t>Marketing - Payroll Taxes</t>
        </is>
      </c>
      <c r="C37" t="n">
        <v>2240</v>
      </c>
      <c r="D37" t="n">
        <v>2240</v>
      </c>
      <c r="E37" t="n">
        <v>2240</v>
      </c>
      <c r="F37" t="n">
        <v>2240</v>
      </c>
      <c r="G37" t="n">
        <v>2240</v>
      </c>
      <c r="H37" t="n">
        <v>2240</v>
      </c>
      <c r="I37" t="n">
        <v>2240</v>
      </c>
      <c r="J37" t="n">
        <v>2240</v>
      </c>
      <c r="K37" t="n">
        <v>2240</v>
      </c>
      <c r="L37" t="n">
        <v>2240</v>
      </c>
      <c r="M37" t="n">
        <v>2240</v>
      </c>
      <c r="N37" t="n">
        <v>2240</v>
      </c>
      <c r="O37" t="n">
        <v>2240</v>
      </c>
      <c r="P37" t="n">
        <v>2240</v>
      </c>
      <c r="Q37" t="n">
        <v>2240</v>
      </c>
      <c r="R37" t="n">
        <v>2240</v>
      </c>
      <c r="S37" t="n">
        <v>2240</v>
      </c>
      <c r="T37" t="n">
        <v>2240</v>
      </c>
    </row>
    <row r="38">
      <c r="B38" t="inlineStr">
        <is>
          <t>Total S &amp; M Payroll</t>
        </is>
      </c>
      <c r="C38">
        <f>SUM(C34:C37)</f>
        <v>91746.0</v>
      </c>
      <c r="D38">
        <f>SUM(D34:D37)</f>
        <v>91368.0</v>
      </c>
      <c r="E38">
        <f>SUM(E34:E37)</f>
        <v>90990.0</v>
      </c>
      <c r="F38">
        <f>SUM(F34:F37)</f>
        <v>90612.0</v>
      </c>
      <c r="G38">
        <f>SUM(G34:G37)</f>
        <v>90234.0</v>
      </c>
      <c r="H38">
        <f>SUM(H34:H37)</f>
        <v>89856.0</v>
      </c>
      <c r="I38">
        <f>SUM(I34:I37)</f>
        <v>89478.0</v>
      </c>
      <c r="J38">
        <f>SUM(J34:J37)</f>
        <v>89100.0</v>
      </c>
      <c r="K38">
        <f>SUM(K34:K37)</f>
        <v>88722.0</v>
      </c>
      <c r="L38">
        <f>SUM(L34:L37)</f>
        <v>88344.0</v>
      </c>
      <c r="M38">
        <f>SUM(M34:M37)</f>
        <v>87966.0</v>
      </c>
      <c r="N38">
        <f>SUM(N34:N37)</f>
        <v>87588.0</v>
      </c>
      <c r="O38">
        <f>SUM(O34:O37)</f>
        <v>87210.0</v>
      </c>
      <c r="P38">
        <f>SUM(P34:P37)</f>
        <v>86832.0</v>
      </c>
      <c r="Q38">
        <f>SUM(Q34:Q37)</f>
        <v>86454.0</v>
      </c>
      <c r="R38">
        <f>SUM(R34:R37)</f>
        <v>86076.0</v>
      </c>
      <c r="S38">
        <f>SUM(S34:S37)</f>
        <v>85698.0</v>
      </c>
      <c r="T38">
        <f>SUM(T34:T37)</f>
        <v>85320.0</v>
      </c>
    </row>
    <row r="39">
      <c r="B39" t="inlineStr">
        <is>
          <t>Marketing</t>
        </is>
      </c>
    </row>
    <row r="40">
      <c r="B40" t="inlineStr">
        <is>
          <t>Marketing/Advertising: Ad Spend</t>
        </is>
      </c>
      <c r="C40" t="n">
        <v>18420</v>
      </c>
      <c r="D40" t="n">
        <v>18160</v>
      </c>
      <c r="E40" t="n">
        <v>17900</v>
      </c>
      <c r="F40" t="n">
        <v>17640</v>
      </c>
      <c r="G40" t="n">
        <v>17380</v>
      </c>
      <c r="H40" t="n">
        <v>17120</v>
      </c>
      <c r="I40" t="n">
        <v>16860</v>
      </c>
      <c r="J40" t="n">
        <v>16600</v>
      </c>
      <c r="K40" t="n">
        <v>16340</v>
      </c>
      <c r="L40" t="n">
        <v>16080</v>
      </c>
      <c r="M40" t="n">
        <v>15820</v>
      </c>
      <c r="N40" t="n">
        <v>15560</v>
      </c>
      <c r="O40" t="n">
        <v>15300</v>
      </c>
      <c r="P40" t="n">
        <v>15040</v>
      </c>
      <c r="Q40" t="n">
        <v>14780</v>
      </c>
      <c r="R40" t="n">
        <v>14520</v>
      </c>
      <c r="S40" t="n">
        <v>14260</v>
      </c>
      <c r="T40" t="n">
        <v>14000</v>
      </c>
    </row>
    <row r="41">
      <c r="B41" t="inlineStr">
        <is>
          <t>Marketing/Advertising: Content</t>
        </is>
      </c>
      <c r="C41" t="n">
        <v>5000</v>
      </c>
      <c r="D41" t="n">
        <v>5000</v>
      </c>
      <c r="E41" t="n">
        <v>5000</v>
      </c>
      <c r="F41" t="n">
        <v>5000</v>
      </c>
      <c r="G41" t="n">
        <v>5000</v>
      </c>
      <c r="H41" t="n">
        <v>5000</v>
      </c>
      <c r="I41" t="n">
        <v>5000</v>
      </c>
      <c r="J41" t="n">
        <v>5000</v>
      </c>
      <c r="K41" t="n">
        <v>5000</v>
      </c>
      <c r="L41" t="n">
        <v>5000</v>
      </c>
      <c r="M41" t="n">
        <v>5000</v>
      </c>
      <c r="N41" t="n">
        <v>5000</v>
      </c>
      <c r="O41" t="n">
        <v>5000</v>
      </c>
      <c r="P41" t="n">
        <v>5000</v>
      </c>
      <c r="Q41" t="n">
        <v>5000</v>
      </c>
      <c r="R41" t="n">
        <v>5000</v>
      </c>
      <c r="S41" t="n">
        <v>5000</v>
      </c>
      <c r="T41" t="n">
        <v>5000</v>
      </c>
    </row>
    <row r="42">
      <c r="B42" t="inlineStr">
        <is>
          <t>Events &amp; Conferences</t>
        </is>
      </c>
      <c r="C42" t="n">
        <v>1200</v>
      </c>
      <c r="D42" t="n">
        <v>1200</v>
      </c>
      <c r="E42" t="n">
        <v>1200</v>
      </c>
      <c r="F42" t="n">
        <v>42200</v>
      </c>
      <c r="G42" t="n">
        <v>1200</v>
      </c>
      <c r="H42" t="n">
        <v>1200</v>
      </c>
      <c r="I42" t="n">
        <v>1200</v>
      </c>
      <c r="J42" t="n">
        <v>1200</v>
      </c>
      <c r="K42" t="n">
        <v>1200</v>
      </c>
      <c r="L42" t="n">
        <v>1200</v>
      </c>
      <c r="M42" t="n">
        <v>1200</v>
      </c>
      <c r="N42" t="n">
        <v>1200</v>
      </c>
      <c r="O42" t="n">
        <v>1200</v>
      </c>
      <c r="P42" t="n">
        <v>1200</v>
      </c>
      <c r="Q42" t="n">
        <v>1200</v>
      </c>
      <c r="R42" t="n">
        <v>1200</v>
      </c>
      <c r="S42" t="n">
        <v>1200</v>
      </c>
      <c r="T42" t="n">
        <v>1200</v>
      </c>
    </row>
    <row r="43">
      <c r="B43" t="inlineStr">
        <is>
          <t>Total Marketing</t>
        </is>
      </c>
      <c r="C43">
        <f>SUM(C40:C42)</f>
        <v>24620.0</v>
      </c>
      <c r="D43">
        <f>SUM(D40:D42)</f>
        <v>24360.0</v>
      </c>
      <c r="E43">
        <f>SUM(E40:E42)</f>
        <v>24100.0</v>
      </c>
      <c r="F43">
        <f>SUM(F40:F42)</f>
        <v>64840.0</v>
      </c>
      <c r="G43">
        <f>SUM(G40:G42)</f>
        <v>23580.0</v>
      </c>
      <c r="H43">
        <f>SUM(H40:H42)</f>
        <v>23320.0</v>
      </c>
      <c r="I43">
        <f>SUM(I40:I42)</f>
        <v>23060.0</v>
      </c>
      <c r="J43">
        <f>SUM(J40:J42)</f>
        <v>22800.0</v>
      </c>
      <c r="K43">
        <f>SUM(K40:K42)</f>
        <v>22540.0</v>
      </c>
      <c r="L43">
        <f>SUM(L40:L42)</f>
        <v>22280.0</v>
      </c>
      <c r="M43">
        <f>SUM(M40:M42)</f>
        <v>22020.0</v>
      </c>
      <c r="N43">
        <f>SUM(N40:N42)</f>
        <v>21760.0</v>
      </c>
      <c r="O43">
        <f>SUM(O40:O42)</f>
        <v>21500.0</v>
      </c>
      <c r="P43">
        <f>SUM(P40:P42)</f>
        <v>21240.0</v>
      </c>
      <c r="Q43">
        <f>SUM(Q40:Q42)</f>
        <v>20980.0</v>
      </c>
      <c r="R43">
        <f>SUM(R40:R42)</f>
        <v>20720.0</v>
      </c>
      <c r="S43">
        <f>SUM(S40:S42)</f>
        <v>20460.0</v>
      </c>
      <c r="T43">
        <f>SUM(T40:T42)</f>
        <v>20200.0</v>
      </c>
    </row>
    <row r="44">
      <c r="A44" t="inlineStr">
        <is>
          <t>Total Operating Expenses</t>
        </is>
      </c>
      <c r="C44">
        <f>(SUM(C25:C32) + C38 + C43)</f>
        <v>152486.0</v>
      </c>
      <c r="D44">
        <f>(SUM(D25:D32) + D38 + D43)</f>
        <v>151668.0</v>
      </c>
      <c r="E44">
        <f>(SUM(E25:E32) + E38 + E43)</f>
        <v>150850.0</v>
      </c>
      <c r="F44">
        <f>(SUM(F25:F32) + F38 + F43)</f>
        <v>191032.0</v>
      </c>
      <c r="G44">
        <f>(SUM(G25:G32) + G38 + G43)</f>
        <v>149214.0</v>
      </c>
      <c r="H44">
        <f>(SUM(H25:H32) + H38 + H43)</f>
        <v>148396.0</v>
      </c>
      <c r="I44">
        <f>(SUM(I25:I32) + I38 + I43)</f>
        <v>147578.0</v>
      </c>
      <c r="J44">
        <f>(SUM(J25:J32) + J38 + J43)</f>
        <v>146760.0</v>
      </c>
      <c r="K44">
        <f>(SUM(K25:K32) + K38 + K43)</f>
        <v>145942.0</v>
      </c>
      <c r="L44">
        <f>(SUM(L25:L32) + L38 + L43)</f>
        <v>145124.0</v>
      </c>
      <c r="M44">
        <f>(SUM(M25:M32) + M38 + M43)</f>
        <v>144306.0</v>
      </c>
      <c r="N44">
        <f>(SUM(N25:N32) + N38 + N43)</f>
        <v>143488.0</v>
      </c>
      <c r="O44">
        <f>(SUM(O25:O32) + O38 + O43)</f>
        <v>142670.0</v>
      </c>
      <c r="P44">
        <f>(SUM(P25:P32) + P38 + P43)</f>
        <v>141852.0</v>
      </c>
      <c r="Q44">
        <f>(SUM(Q25:Q32) + Q38 + Q43)</f>
        <v>141034.0</v>
      </c>
      <c r="R44">
        <f>(SUM(R25:R32) + R38 + R43)</f>
        <v>140216.0</v>
      </c>
      <c r="S44">
        <f>(SUM(S25:S32) + S38 + S43)</f>
        <v>139398.0</v>
      </c>
      <c r="T44">
        <f>(SUM(T25:T32) + T38 + T43)</f>
        <v>138580.0</v>
      </c>
    </row>
    <row r="46">
      <c r="B46" t="inlineStr">
        <is>
          <t>Operating Income</t>
        </is>
      </c>
      <c r="C46">
        <f>(C22 - C44)</f>
        <v>21925.0</v>
      </c>
      <c r="D46">
        <f>(D22 - D44)</f>
        <v>17460.0</v>
      </c>
      <c r="E46">
        <f>(E22 - E44)</f>
        <v>16995.0</v>
      </c>
      <c r="F46">
        <f>(F22 - F44)</f>
        <v>-20470.0</v>
      </c>
      <c r="G46">
        <f>(G22 - G44)</f>
        <v>16065.0</v>
      </c>
      <c r="H46">
        <f>(H22 - H44)</f>
        <v>15600.0</v>
      </c>
      <c r="I46">
        <f>(I22 - I44)</f>
        <v>19135.0</v>
      </c>
      <c r="J46">
        <f>(J22 - J44)</f>
        <v>14670.0</v>
      </c>
      <c r="K46">
        <f>(K22 - K44)</f>
        <v>14205.0</v>
      </c>
      <c r="L46">
        <f>(L22 - L44)</f>
        <v>17740.0</v>
      </c>
      <c r="M46">
        <f>(M22 - M44)</f>
        <v>13275.0</v>
      </c>
      <c r="N46">
        <f>(N22 - N44)</f>
        <v>12810.0</v>
      </c>
      <c r="O46">
        <f>(O22 - O44)</f>
        <v>16345.0</v>
      </c>
      <c r="P46">
        <f>(P22 - P44)</f>
        <v>11880.0</v>
      </c>
      <c r="Q46">
        <f>(Q22 - Q44)</f>
        <v>11415.0</v>
      </c>
      <c r="R46">
        <f>(R22 - R44)</f>
        <v>14950.0</v>
      </c>
      <c r="S46">
        <f>(S22 - S44)</f>
        <v>10485.0</v>
      </c>
      <c r="T46">
        <f>(T22 - T44)</f>
        <v>10020.0</v>
      </c>
    </row>
    <row r="48">
      <c r="B48" t="inlineStr">
        <is>
          <t>Net Income</t>
        </is>
      </c>
      <c r="C48">
        <f>(C46 + 0)</f>
        <v>21925.0</v>
      </c>
      <c r="D48">
        <f>(D46 + 0)</f>
        <v>17460.0</v>
      </c>
      <c r="E48">
        <f>(E46 + 0)</f>
        <v>16995.0</v>
      </c>
      <c r="F48">
        <f>(F46 + 0)</f>
        <v>-20470.0</v>
      </c>
      <c r="G48">
        <f>(G46 + 0)</f>
        <v>16065.0</v>
      </c>
      <c r="H48">
        <f>(H46 + 0)</f>
        <v>15600.0</v>
      </c>
      <c r="I48">
        <f>(I46 + 0)</f>
        <v>19135.0</v>
      </c>
      <c r="J48">
        <f>(J46 + 0)</f>
        <v>14670.0</v>
      </c>
      <c r="K48">
        <f>(K46 + 0)</f>
        <v>14205.0</v>
      </c>
      <c r="L48">
        <f>(L46 + 0)</f>
        <v>17740.0</v>
      </c>
      <c r="M48">
        <f>(M46 + 0)</f>
        <v>13275.0</v>
      </c>
      <c r="N48">
        <f>(N46 + 0)</f>
        <v>12810.0</v>
      </c>
      <c r="O48">
        <f>(O46 + 0)</f>
        <v>16345.0</v>
      </c>
      <c r="P48">
        <f>(P46 + 0)</f>
        <v>11880.0</v>
      </c>
      <c r="Q48">
        <f>(Q46 + 0)</f>
        <v>11415.0</v>
      </c>
      <c r="R48">
        <f>(R46 + 0)</f>
        <v>14950.0</v>
      </c>
      <c r="S48">
        <f>(S46 + 0)</f>
        <v>10485.0</v>
      </c>
      <c r="T48">
        <f>(T46 + 0)</f>
        <v>10020.0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2026-10-11T07:32:47Z</dcterms:created>
  <dcterms:modified xsi:type="dcterms:W3CDTF">2026-10-11T07:32:47Z</dcterms:modified>
</cp:coreProperties>
</file>